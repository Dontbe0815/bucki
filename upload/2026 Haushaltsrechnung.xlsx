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Übersicht" sheetId="1" r:id="rId5"/>
    <sheet state="visible" name="Einnahmen" sheetId="2" r:id="rId6"/>
    <sheet state="visible" name="Ausgaben" sheetId="3" r:id="rId7"/>
    <sheet state="visible" name="mtl. Überschuss" sheetId="4" r:id="rId8"/>
    <sheet state="visible" name="Vermögenszuwachs" sheetId="5" r:id="rId9"/>
    <sheet state="visible" name="Steuern" sheetId="6" r:id="rId10"/>
    <sheet state="visible" name="Nebekostenvorauszahlung" sheetId="7" r:id="rId11"/>
    <sheet state="visible" name="Tilgung" sheetId="8" r:id="rId12"/>
    <sheet state="visible" name="Kredite" sheetId="9" r:id="rId13"/>
    <sheet state="visible" name="Abschreibung" sheetId="10" r:id="rId14"/>
  </sheets>
  <definedNames/>
  <calcPr/>
</workbook>
</file>

<file path=xl/sharedStrings.xml><?xml version="1.0" encoding="utf-8"?>
<sst xmlns="http://schemas.openxmlformats.org/spreadsheetml/2006/main" count="213" uniqueCount="65">
  <si>
    <t>Gesamt</t>
  </si>
  <si>
    <t>Einnahmen</t>
  </si>
  <si>
    <t>Ausgaben</t>
  </si>
  <si>
    <t>mtl. Überschuss (kalt)</t>
  </si>
  <si>
    <t>Nebenkostenvorauszahlung</t>
  </si>
  <si>
    <t>Vermögenszuwachs</t>
  </si>
  <si>
    <t>zu versteuern</t>
  </si>
  <si>
    <t>Wohneinheiten</t>
  </si>
  <si>
    <t>mtl. Überschuss</t>
  </si>
  <si>
    <t xml:space="preserve">Arndtstr. 115 / WE 7 / 39m² / 20.000€ </t>
  </si>
  <si>
    <t>Friedrichstr. 8 / WE 11 / 46m² / 59.000€</t>
  </si>
  <si>
    <t>Dülmener Str. 19 / 78m² / 65.000€</t>
  </si>
  <si>
    <t>Friedrichstr. 8 / WE 14 / 46m² / 65.000€</t>
  </si>
  <si>
    <t>Friedrichstr.6 / WE 01 / 48m² / 55.000€</t>
  </si>
  <si>
    <t>Körnerstr 43 / 44m² / 53.000€ + Carport</t>
  </si>
  <si>
    <t>Hörder Phönixseeallee 152 / WE 3 / 39m² / 91.250€</t>
  </si>
  <si>
    <t>Hörder Phönixseeallee 152 / WE 4 / 37m² / 91.250€</t>
  </si>
  <si>
    <t>Arndtstr. 115 / WE 05 / 43m² / 40.000€</t>
  </si>
  <si>
    <t>Hohenstein 62, WE 9, 50m², 42283 Wuppertal</t>
  </si>
  <si>
    <t>Goldhammerstr. 46, WE 7, 38m², 44793 Bochum</t>
  </si>
  <si>
    <t>Ges. Miete</t>
  </si>
  <si>
    <t>Kaltmiete</t>
  </si>
  <si>
    <t>Nebenkosten</t>
  </si>
  <si>
    <t>Weitere Einnahmen</t>
  </si>
  <si>
    <t xml:space="preserve">Arndtstr. 115 / WE 7 / 41m² / 20.000€ </t>
  </si>
  <si>
    <t>Friedrichstr.6 / WE 01 / 47m² / 55.000€</t>
  </si>
  <si>
    <t>Arndtstr. 115 / WE 05 / 46m² / 40.000€</t>
  </si>
  <si>
    <t>Kredit</t>
  </si>
  <si>
    <t>Hausverwaltung</t>
  </si>
  <si>
    <t>Grundsteuer</t>
  </si>
  <si>
    <t>Tilgung 1</t>
  </si>
  <si>
    <t>Zinsen 1</t>
  </si>
  <si>
    <t>Tilgung 2</t>
  </si>
  <si>
    <t>Zinsen 2</t>
  </si>
  <si>
    <t>n. umlegbar</t>
  </si>
  <si>
    <t>umlegbar</t>
  </si>
  <si>
    <t>mtl. Überschuss kalt (alle Kosten Tilgung &amp; Zinsen &amp; nicht umlegbare Kosten abgezogen)</t>
  </si>
  <si>
    <t>Kaltimiete</t>
  </si>
  <si>
    <t>mtl. Betriebskosten n. umlegbar</t>
  </si>
  <si>
    <t>Tilgung</t>
  </si>
  <si>
    <t>Zinsen</t>
  </si>
  <si>
    <t xml:space="preserve">Hohenstein 62, WE 9, 50m², 42283 Wuppertal
</t>
  </si>
  <si>
    <r>
      <rPr>
        <rFont val="Arial"/>
        <b/>
        <color theme="1"/>
        <sz val="14.0"/>
      </rPr>
      <t xml:space="preserve">Vermögenszuwachs </t>
    </r>
    <r>
      <rPr>
        <rFont val="Arial"/>
        <b val="0"/>
        <color theme="1"/>
        <sz val="12.0"/>
      </rPr>
      <t>(zu versteuern)</t>
    </r>
  </si>
  <si>
    <t>Gesamt p.m.</t>
  </si>
  <si>
    <t>Kaltmiete + Stellplatz</t>
  </si>
  <si>
    <t>n. umlegbare Kosten</t>
  </si>
  <si>
    <t>Hohenstein 62 / WE 9 / 50m² / 35.000€</t>
  </si>
  <si>
    <t>Steuern mtl.</t>
  </si>
  <si>
    <t>zu versteuern (inkl Abschreibung)</t>
  </si>
  <si>
    <t>Zinsen1</t>
  </si>
  <si>
    <t>nicht umlegbare Betriebskosten</t>
  </si>
  <si>
    <t>Abschreibung</t>
  </si>
  <si>
    <t>Nebenkostenvorrauszahlung</t>
  </si>
  <si>
    <t>Minus Nachzahlung von Mieter / Plus Guthaben Mieter</t>
  </si>
  <si>
    <t>Betriebskosten</t>
  </si>
  <si>
    <t>umlagefähig</t>
  </si>
  <si>
    <t>Kredite</t>
  </si>
  <si>
    <t>ungefähr Abschreibung</t>
  </si>
  <si>
    <t>Abschreibung pro Jahr</t>
  </si>
  <si>
    <t>Faktor Gebäude</t>
  </si>
  <si>
    <t>Kaufpreis</t>
  </si>
  <si>
    <t>Gebäude</t>
  </si>
  <si>
    <t>Grund / Boden</t>
  </si>
  <si>
    <t>Möbel + Faktor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</si>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</sst>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20">
    <font>
      <sz val="10.0"/>
      <color rgb="FF000000"/>
      <name val="Arial"/>
      <scheme val="minor"/>
    </font>
    <font>
      <b/>
      <sz val="22.0"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b/>
      <sz val="18.0"/>
      <color theme="1"/>
      <name val="Arial"/>
      <scheme val="minor"/>
    </font>
    <font>
      <b/>
      <sz val="12.0"/>
      <color theme="1"/>
      <name val="Arial"/>
    </font>
    <font>
      <sz val="10.0"/>
      <color theme="1"/>
      <name val="Arial"/>
      <scheme val="minor"/>
    </font>
    <font>
      <color theme="1"/>
      <name val="Arial"/>
    </font>
    <font>
      <b/>
      <sz val="16.0"/>
      <color theme="1"/>
      <name val="Arial"/>
      <scheme val="minor"/>
    </font>
    <font>
      <b/>
      <sz val="14.0"/>
      <color theme="1"/>
      <name val="Arial"/>
    </font>
    <font>
      <sz val="12.0"/>
      <color theme="1"/>
      <name val="Arial"/>
    </font>
    <font>
      <b/>
      <sz val="12.0"/>
      <color theme="1"/>
      <name val="Arial"/>
      <scheme val="minor"/>
    </font>
    <font>
      <b/>
      <sz val="11.0"/>
      <color theme="1"/>
      <name val="Arial"/>
    </font>
    <font>
      <b/>
      <color rgb="FFFF0000"/>
      <name val="Arial"/>
    </font>
    <font>
      <sz val="12.0"/>
      <color theme="1"/>
      <name val="Arial"/>
      <scheme val="minor"/>
    </font>
    <font>
      <sz val="8.0"/>
      <color theme="1"/>
      <name val="Arial"/>
      <scheme val="minor"/>
    </font>
    <font>
      <strike/>
      <color theme="1"/>
      <name val="Arial"/>
      <scheme val="minor"/>
    </font>
    <font>
      <sz val="11.0"/>
      <color rgb="FF1F1F1F"/>
      <name val="&quot;Google Sans&quot;"/>
    </font>
    <font>
      <b/>
      <sz val="16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readingOrder="0" vertical="center"/>
    </xf>
    <xf borderId="0" fillId="0" fontId="3" numFmtId="164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0" fontId="8" numFmtId="0" xfId="0" applyAlignment="1" applyFont="1">
      <alignment vertical="center"/>
    </xf>
    <xf borderId="0" fillId="0" fontId="10" numFmtId="164" xfId="0" applyAlignment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0" fillId="0" fontId="12" numFmtId="0" xfId="0" applyAlignment="1" applyFont="1">
      <alignment horizontal="center" vertical="center"/>
    </xf>
    <xf borderId="0" fillId="0" fontId="12" numFmtId="164" xfId="0" applyAlignment="1" applyFont="1" applyNumberForma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0" fillId="0" fontId="8" numFmtId="164" xfId="0" applyAlignment="1" applyFont="1" applyNumberFormat="1">
      <alignment horizontal="center"/>
    </xf>
    <xf borderId="0" fillId="0" fontId="13" numFmtId="164" xfId="0" applyAlignment="1" applyFont="1" applyNumberFormat="1">
      <alignment horizontal="center"/>
    </xf>
    <xf borderId="0" fillId="0" fontId="8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0" fillId="0" fontId="14" numFmtId="0" xfId="0" applyAlignment="1" applyFont="1">
      <alignment horizontal="center" readingOrder="0" vertical="center"/>
    </xf>
    <xf borderId="0" fillId="0" fontId="10" numFmtId="164" xfId="0" applyAlignment="1" applyFont="1" applyNumberFormat="1">
      <alignment horizontal="center"/>
    </xf>
    <xf borderId="0" fillId="0" fontId="4" numFmtId="164" xfId="0" applyAlignment="1" applyFont="1" applyNumberFormat="1">
      <alignment horizontal="center" vertical="center"/>
    </xf>
    <xf borderId="0" fillId="0" fontId="7" numFmtId="164" xfId="0" applyAlignment="1" applyFont="1" applyNumberFormat="1">
      <alignment horizontal="center" readingOrder="0" vertical="center"/>
    </xf>
    <xf borderId="0" fillId="0" fontId="8" numFmtId="0" xfId="0" applyAlignment="1" applyFont="1">
      <alignment vertical="bottom"/>
    </xf>
    <xf borderId="0" fillId="0" fontId="13" numFmtId="164" xfId="0" applyAlignment="1" applyFont="1" applyNumberFormat="1">
      <alignment horizontal="center" vertical="center"/>
    </xf>
    <xf borderId="0" fillId="0" fontId="15" numFmtId="0" xfId="0" applyAlignment="1" applyFont="1">
      <alignment horizontal="center" readingOrder="0" vertical="center"/>
    </xf>
    <xf borderId="0" fillId="0" fontId="16" numFmtId="0" xfId="0" applyAlignment="1" applyFont="1">
      <alignment horizontal="center" readingOrder="0" vertical="center"/>
    </xf>
    <xf borderId="0" fillId="0" fontId="7" numFmtId="164" xfId="0" applyAlignment="1" applyFont="1" applyNumberFormat="1">
      <alignment horizontal="center" readingOrder="0" vertical="center"/>
    </xf>
    <xf borderId="0" fillId="0" fontId="16" numFmtId="164" xfId="0" applyAlignment="1" applyFont="1" applyNumberForma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17" numFmtId="0" xfId="0" applyFont="1"/>
    <xf borderId="0" fillId="2" fontId="18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bottom" wrapText="0"/>
    </xf>
    <xf borderId="0" fillId="2" fontId="19" numFmtId="164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10" xfId="0" applyAlignment="1" applyFont="1" applyNumberFormat="1">
      <alignment horizontal="center" readingOrder="0" vertical="center"/>
    </xf>
    <xf borderId="0" fillId="0" fontId="3" numFmtId="9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9.88"/>
    <col customWidth="1" min="2" max="2" width="8.25"/>
    <col customWidth="1" min="3" max="5" width="19.5"/>
    <col customWidth="1" min="6" max="6" width="24.0"/>
    <col customWidth="1" min="7" max="7" width="28.5"/>
  </cols>
  <sheetData>
    <row r="3">
      <c r="A3" s="1" t="s">
        <v>0</v>
      </c>
      <c r="C3" s="2" t="s">
        <v>1</v>
      </c>
      <c r="D3" s="2" t="s">
        <v>2</v>
      </c>
      <c r="E3" s="3" t="s">
        <v>3</v>
      </c>
      <c r="F3" s="3" t="s">
        <v>4</v>
      </c>
      <c r="G3" s="2" t="s">
        <v>5</v>
      </c>
      <c r="H3" s="4" t="s">
        <v>6</v>
      </c>
    </row>
    <row r="6">
      <c r="C6" s="5">
        <f>Einnahmen!C3</f>
        <v>5560</v>
      </c>
      <c r="D6" s="5">
        <f>Ausgaben!C3</f>
        <v>5305.676667</v>
      </c>
      <c r="E6" s="6">
        <f>'mtl. Überschuss'!C3</f>
        <v>344.32</v>
      </c>
      <c r="F6" s="7">
        <f>Nebekostenvorauszahlung!C3</f>
        <v>-89.99666667</v>
      </c>
      <c r="G6" s="5">
        <f>'Vermögenszuwachs'!C3</f>
        <v>1950.64</v>
      </c>
    </row>
    <row r="9">
      <c r="C9" s="8">
        <f>C6-D6</f>
        <v>254.3233333</v>
      </c>
    </row>
    <row r="13">
      <c r="A13" s="9" t="s">
        <v>7</v>
      </c>
      <c r="C13" s="3" t="s">
        <v>1</v>
      </c>
      <c r="D13" s="3" t="s">
        <v>2</v>
      </c>
      <c r="E13" s="10" t="s">
        <v>8</v>
      </c>
      <c r="F13" s="10" t="s">
        <v>4</v>
      </c>
      <c r="G13" s="3" t="s">
        <v>5</v>
      </c>
    </row>
    <row r="16">
      <c r="A16" s="11" t="s">
        <v>9</v>
      </c>
      <c r="C16" s="7">
        <f>Einnahmen!C12</f>
        <v>530</v>
      </c>
      <c r="D16" s="7">
        <f>Ausgaben!C13</f>
        <v>252.74</v>
      </c>
      <c r="E16" s="7">
        <f>'mtl. Überschuss'!C9</f>
        <v>281</v>
      </c>
      <c r="F16" s="7">
        <f>Nebekostenvorauszahlung!C9</f>
        <v>-3.74</v>
      </c>
      <c r="G16" s="7">
        <f>'Vermögenszuwachs'!C9</f>
        <v>281</v>
      </c>
    </row>
    <row r="19">
      <c r="A19" s="11" t="s">
        <v>10</v>
      </c>
      <c r="C19" s="7">
        <f>Einnahmen!C15</f>
        <v>610</v>
      </c>
      <c r="D19" s="7">
        <f>Ausgaben!C16</f>
        <v>534.14</v>
      </c>
      <c r="E19" s="7">
        <f>'mtl. Überschuss'!C12</f>
        <v>59.58</v>
      </c>
      <c r="F19" s="7">
        <f>Nebekostenvorauszahlung!C12</f>
        <v>16.28</v>
      </c>
      <c r="G19" s="7">
        <f>'Vermögenszuwachs'!C12</f>
        <v>245</v>
      </c>
    </row>
    <row r="22">
      <c r="A22" s="12" t="s">
        <v>11</v>
      </c>
      <c r="C22" s="7">
        <f>Einnahmen!C18</f>
        <v>700</v>
      </c>
      <c r="D22" s="7">
        <f>Ausgaben!C19</f>
        <v>676.06</v>
      </c>
      <c r="E22" s="7">
        <f>'mtl. Überschuss'!C15</f>
        <v>40.67</v>
      </c>
      <c r="F22" s="7">
        <f>Nebekostenvorauszahlung!C15</f>
        <v>-16.73</v>
      </c>
      <c r="G22" s="7">
        <f>'Vermögenszuwachs'!C15</f>
        <v>394.62</v>
      </c>
    </row>
    <row r="25">
      <c r="A25" s="11" t="s">
        <v>12</v>
      </c>
      <c r="C25" s="7">
        <f>Einnahmen!C21</f>
        <v>650</v>
      </c>
      <c r="D25" s="7">
        <f>Ausgaben!C22</f>
        <v>565.06</v>
      </c>
      <c r="E25" s="7">
        <f>'mtl. Überschuss'!C18</f>
        <v>106.77</v>
      </c>
      <c r="F25" s="7">
        <f>Nebekostenvorauszahlung!C18</f>
        <v>-21.83</v>
      </c>
      <c r="G25" s="7">
        <f>'Vermögenszuwachs'!C18</f>
        <v>271.77</v>
      </c>
    </row>
    <row r="28">
      <c r="A28" s="11" t="s">
        <v>13</v>
      </c>
      <c r="C28" s="7">
        <f>Einnahmen!C24</f>
        <v>510</v>
      </c>
      <c r="D28" s="7">
        <f>Ausgaben!C25</f>
        <v>505.73</v>
      </c>
      <c r="E28" s="7">
        <f>'mtl. Überschuss'!C21</f>
        <v>10.5</v>
      </c>
      <c r="F28" s="7">
        <f>Nebekostenvorauszahlung!C21</f>
        <v>-6.23</v>
      </c>
      <c r="G28" s="7">
        <f>'Vermögenszuwachs'!C21</f>
        <v>151.5</v>
      </c>
    </row>
    <row r="31">
      <c r="A31" s="12" t="s">
        <v>14</v>
      </c>
      <c r="C31" s="7">
        <f>Einnahmen!C27</f>
        <v>0</v>
      </c>
      <c r="D31" s="7">
        <f>Ausgaben!C28</f>
        <v>315</v>
      </c>
      <c r="E31" s="7">
        <f>'mtl. Überschuss'!C24</f>
        <v>-315</v>
      </c>
      <c r="F31" s="7">
        <f>Nebekostenvorauszahlung!C24</f>
        <v>0</v>
      </c>
      <c r="G31" s="7">
        <f>'Vermögenszuwachs'!C24</f>
        <v>-215</v>
      </c>
    </row>
    <row r="34">
      <c r="A34" s="11" t="s">
        <v>15</v>
      </c>
      <c r="C34" s="7">
        <f>Einnahmen!C30</f>
        <v>400</v>
      </c>
      <c r="D34" s="7">
        <f>Ausgaben!C31</f>
        <v>599.2775</v>
      </c>
      <c r="E34" s="7">
        <f>'mtl. Überschuss'!C27</f>
        <v>-212.28</v>
      </c>
      <c r="F34" s="7">
        <f>Nebekostenvorauszahlung!C27</f>
        <v>13.0025</v>
      </c>
      <c r="G34" s="7">
        <f>'Vermögenszuwachs'!C27</f>
        <v>-28.76</v>
      </c>
    </row>
    <row r="37">
      <c r="A37" s="11" t="s">
        <v>16</v>
      </c>
      <c r="C37" s="7">
        <f>Einnahmen!C33</f>
        <v>600</v>
      </c>
      <c r="D37" s="7">
        <f>Ausgaben!C34</f>
        <v>597.6675</v>
      </c>
      <c r="E37" s="7">
        <f>'mtl. Überschuss'!C30</f>
        <v>-5.02</v>
      </c>
      <c r="F37" s="7">
        <f>Nebekostenvorauszahlung!C30</f>
        <v>7.3525</v>
      </c>
      <c r="G37" s="7">
        <f>'Vermögenszuwachs'!C30</f>
        <v>178.5</v>
      </c>
    </row>
    <row r="40">
      <c r="A40" s="3" t="s">
        <v>17</v>
      </c>
      <c r="C40" s="7">
        <f>Einnahmen!C36</f>
        <v>510</v>
      </c>
      <c r="D40" s="7">
        <f>Ausgaben!C37</f>
        <v>708.4783333</v>
      </c>
      <c r="E40" s="7">
        <f>'mtl. Überschuss'!C33</f>
        <v>-166.9</v>
      </c>
      <c r="F40" s="7">
        <f>Nebekostenvorauszahlung!C33</f>
        <v>-31.57833333</v>
      </c>
      <c r="G40" s="7">
        <f>'Vermögenszuwachs'!C33</f>
        <v>127.01</v>
      </c>
    </row>
    <row r="43">
      <c r="A43" s="13" t="s">
        <v>18</v>
      </c>
      <c r="C43" s="7">
        <f>Einnahmen!C39</f>
        <v>500</v>
      </c>
      <c r="D43" s="7">
        <f>Ausgaben!C40</f>
        <v>245.7616667</v>
      </c>
      <c r="E43" s="7">
        <f>'mtl. Überschuss'!C36</f>
        <v>251</v>
      </c>
      <c r="F43" s="7">
        <f>Nebekostenvorauszahlung!C36</f>
        <v>3.238333333</v>
      </c>
      <c r="G43" s="7">
        <f>'Vermögenszuwachs'!C36</f>
        <v>251</v>
      </c>
    </row>
    <row r="46">
      <c r="A46" s="3" t="s">
        <v>19</v>
      </c>
      <c r="C46" s="7">
        <f>Einnahmen!C42</f>
        <v>550</v>
      </c>
      <c r="D46" s="7">
        <f>Ausgaben!C43</f>
        <v>305.7616667</v>
      </c>
      <c r="E46" s="7">
        <f>'mtl. Überschuss'!C39</f>
        <v>294</v>
      </c>
      <c r="F46" s="7">
        <f>Nebekostenvorauszahlung!C39</f>
        <v>-49.76166667</v>
      </c>
      <c r="G46" s="7">
        <f>'Vermögenszuwachs'!C39</f>
        <v>294</v>
      </c>
    </row>
  </sheetData>
  <mergeCells count="102">
    <mergeCell ref="G3:G4"/>
    <mergeCell ref="H3:H4"/>
    <mergeCell ref="C3:C4"/>
    <mergeCell ref="C6:C7"/>
    <mergeCell ref="D6:D7"/>
    <mergeCell ref="E6:E7"/>
    <mergeCell ref="F6:F7"/>
    <mergeCell ref="G6:G10"/>
    <mergeCell ref="H6:H10"/>
    <mergeCell ref="C8:F8"/>
    <mergeCell ref="C9:D10"/>
    <mergeCell ref="E9:F10"/>
    <mergeCell ref="A13:A14"/>
    <mergeCell ref="C13:C14"/>
    <mergeCell ref="D13:D14"/>
    <mergeCell ref="E13:E14"/>
    <mergeCell ref="A11:A12"/>
    <mergeCell ref="C11:G12"/>
    <mergeCell ref="F13:F14"/>
    <mergeCell ref="G13:G14"/>
    <mergeCell ref="A3:A10"/>
    <mergeCell ref="A16:A17"/>
    <mergeCell ref="C16:C17"/>
    <mergeCell ref="D16:D17"/>
    <mergeCell ref="E16:E17"/>
    <mergeCell ref="F16:F17"/>
    <mergeCell ref="A19:A20"/>
    <mergeCell ref="C19:C20"/>
    <mergeCell ref="D19:D20"/>
    <mergeCell ref="E19:E20"/>
    <mergeCell ref="G16:G17"/>
    <mergeCell ref="C18:G18"/>
    <mergeCell ref="F19:F20"/>
    <mergeCell ref="G19:G20"/>
    <mergeCell ref="C21:G21"/>
    <mergeCell ref="A22:A23"/>
    <mergeCell ref="C22:C23"/>
    <mergeCell ref="D22:D23"/>
    <mergeCell ref="E22:E23"/>
    <mergeCell ref="F22:F23"/>
    <mergeCell ref="G22:G23"/>
    <mergeCell ref="C24:G24"/>
    <mergeCell ref="A25:A26"/>
    <mergeCell ref="C25:C26"/>
    <mergeCell ref="D25:D26"/>
    <mergeCell ref="E25:E26"/>
    <mergeCell ref="F25:F26"/>
    <mergeCell ref="G25:G26"/>
    <mergeCell ref="C27:G27"/>
    <mergeCell ref="A28:A29"/>
    <mergeCell ref="C28:C29"/>
    <mergeCell ref="D28:D29"/>
    <mergeCell ref="E28:E29"/>
    <mergeCell ref="F28:F29"/>
    <mergeCell ref="G28:G29"/>
    <mergeCell ref="C30:G30"/>
    <mergeCell ref="A31:A32"/>
    <mergeCell ref="C31:C32"/>
    <mergeCell ref="D31:D32"/>
    <mergeCell ref="E31:E32"/>
    <mergeCell ref="F31:F32"/>
    <mergeCell ref="G31:G32"/>
    <mergeCell ref="C33:G33"/>
    <mergeCell ref="A34:A35"/>
    <mergeCell ref="C34:C35"/>
    <mergeCell ref="D34:D35"/>
    <mergeCell ref="E34:E35"/>
    <mergeCell ref="F34:F35"/>
    <mergeCell ref="G34:G35"/>
    <mergeCell ref="C39:G39"/>
    <mergeCell ref="A40:A41"/>
    <mergeCell ref="C40:C41"/>
    <mergeCell ref="D40:D41"/>
    <mergeCell ref="E40:E41"/>
    <mergeCell ref="F40:F41"/>
    <mergeCell ref="G40:G41"/>
    <mergeCell ref="A1:G2"/>
    <mergeCell ref="B3:B47"/>
    <mergeCell ref="D3:D4"/>
    <mergeCell ref="E3:E4"/>
    <mergeCell ref="F3:F4"/>
    <mergeCell ref="C5:G5"/>
    <mergeCell ref="C15:G15"/>
    <mergeCell ref="C36:G36"/>
    <mergeCell ref="A37:A38"/>
    <mergeCell ref="C37:C38"/>
    <mergeCell ref="D37:D38"/>
    <mergeCell ref="E37:E38"/>
    <mergeCell ref="F37:F38"/>
    <mergeCell ref="G37:G38"/>
    <mergeCell ref="A43:A44"/>
    <mergeCell ref="C43:C44"/>
    <mergeCell ref="D43:D44"/>
    <mergeCell ref="E43:E44"/>
    <mergeCell ref="F43:F44"/>
    <mergeCell ref="G43:G44"/>
    <mergeCell ref="A46:A47"/>
    <mergeCell ref="C46:C47"/>
    <mergeCell ref="D46:D47"/>
    <mergeCell ref="E46:E47"/>
    <mergeCell ref="F46:F47"/>
    <mergeCell ref="G46:G4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3.63"/>
    <col customWidth="1" min="2" max="2" width="5.0"/>
    <col customWidth="1" min="3" max="4" width="28.75"/>
    <col customWidth="1" min="5" max="5" width="25.75"/>
    <col customWidth="1" min="6" max="6" width="28.75"/>
  </cols>
  <sheetData>
    <row r="1" ht="29.25" customHeight="1">
      <c r="A1" s="14" t="s">
        <v>1</v>
      </c>
    </row>
    <row r="3">
      <c r="A3" s="15" t="s">
        <v>0</v>
      </c>
      <c r="B3" s="16"/>
      <c r="C3" s="17">
        <f>SUM(D6:E6)</f>
        <v>5560</v>
      </c>
      <c r="G3" s="11"/>
      <c r="H3" s="12"/>
      <c r="I3" s="18"/>
      <c r="J3" s="18"/>
      <c r="K3" s="19"/>
    </row>
    <row r="4">
      <c r="G4" s="11"/>
      <c r="H4" s="12"/>
      <c r="I4" s="18"/>
      <c r="J4" s="18"/>
      <c r="K4" s="19"/>
    </row>
    <row r="5">
      <c r="A5" s="9"/>
      <c r="C5" s="9"/>
    </row>
    <row r="6">
      <c r="C6" s="20"/>
      <c r="D6" s="21">
        <f>SUM(D12:D43)+SUM(F12:F1003)</f>
        <v>3999.35</v>
      </c>
      <c r="E6" s="21">
        <f>SUM(E8:E53)</f>
        <v>1560.65</v>
      </c>
    </row>
    <row r="7">
      <c r="G7" s="22"/>
      <c r="H7" s="23"/>
      <c r="I7" s="24"/>
      <c r="J7" s="24"/>
    </row>
    <row r="8">
      <c r="G8" s="22"/>
      <c r="H8" s="23"/>
      <c r="I8" s="24"/>
      <c r="J8" s="24"/>
    </row>
    <row r="9">
      <c r="A9" s="11"/>
      <c r="C9" s="3" t="s">
        <v>20</v>
      </c>
      <c r="D9" s="25" t="s">
        <v>21</v>
      </c>
      <c r="E9" s="25" t="s">
        <v>22</v>
      </c>
      <c r="F9" s="25" t="s">
        <v>23</v>
      </c>
    </row>
    <row r="11">
      <c r="A11" s="11"/>
      <c r="C11" s="26"/>
      <c r="D11" s="25"/>
      <c r="E11" s="25"/>
      <c r="F11" s="22"/>
    </row>
    <row r="12">
      <c r="A12" s="11" t="s">
        <v>24</v>
      </c>
      <c r="C12" s="7">
        <f>D12+E12+F12</f>
        <v>530</v>
      </c>
      <c r="D12" s="25">
        <v>370.0</v>
      </c>
      <c r="E12" s="25">
        <v>160.0</v>
      </c>
      <c r="F12" s="22"/>
    </row>
    <row r="13">
      <c r="G13" s="22"/>
      <c r="H13" s="23"/>
      <c r="I13" s="23"/>
      <c r="J13" s="23"/>
    </row>
    <row r="14">
      <c r="E14" s="27"/>
      <c r="G14" s="22"/>
      <c r="H14" s="23"/>
      <c r="I14" s="23"/>
      <c r="J14" s="23"/>
    </row>
    <row r="15">
      <c r="A15" s="11" t="s">
        <v>10</v>
      </c>
      <c r="C15" s="7">
        <f>D15+E15+F15</f>
        <v>610</v>
      </c>
      <c r="D15" s="25">
        <v>390.0</v>
      </c>
      <c r="E15" s="25">
        <v>220.0</v>
      </c>
      <c r="F15" s="22"/>
      <c r="G15" s="23"/>
      <c r="H15" s="23"/>
      <c r="I15" s="23"/>
      <c r="J15" s="23"/>
    </row>
    <row r="16">
      <c r="G16" s="22"/>
      <c r="H16" s="23"/>
      <c r="I16" s="23"/>
      <c r="J16" s="23"/>
    </row>
    <row r="17">
      <c r="D17" s="23"/>
      <c r="E17" s="23"/>
      <c r="F17" s="23"/>
      <c r="G17" s="22"/>
      <c r="H17" s="23"/>
      <c r="I17" s="23"/>
      <c r="J17" s="23"/>
    </row>
    <row r="18">
      <c r="A18" s="12" t="s">
        <v>11</v>
      </c>
      <c r="C18" s="7">
        <f>D18+E18+F18</f>
        <v>700</v>
      </c>
      <c r="D18" s="25">
        <v>500.0</v>
      </c>
      <c r="E18" s="25">
        <v>200.0</v>
      </c>
      <c r="F18" s="22"/>
      <c r="G18" s="23"/>
      <c r="H18" s="23"/>
      <c r="I18" s="23"/>
      <c r="J18" s="23"/>
    </row>
    <row r="19">
      <c r="G19" s="22"/>
      <c r="H19" s="23"/>
      <c r="I19" s="23"/>
      <c r="J19" s="23"/>
    </row>
    <row r="20">
      <c r="D20" s="23"/>
      <c r="E20" s="23"/>
      <c r="F20" s="23"/>
      <c r="G20" s="22"/>
      <c r="H20" s="23"/>
      <c r="I20" s="23"/>
      <c r="J20" s="23"/>
    </row>
    <row r="21">
      <c r="A21" s="11" t="s">
        <v>12</v>
      </c>
      <c r="C21" s="7">
        <f>D21+E21+F21</f>
        <v>650</v>
      </c>
      <c r="D21" s="25">
        <v>449.35</v>
      </c>
      <c r="E21" s="25">
        <v>200.65</v>
      </c>
      <c r="F21" s="22"/>
      <c r="G21" s="23"/>
      <c r="H21" s="23"/>
      <c r="I21" s="23"/>
      <c r="J21" s="23"/>
    </row>
    <row r="22">
      <c r="G22" s="22"/>
      <c r="H22" s="23"/>
      <c r="I22" s="23"/>
      <c r="J22" s="23"/>
    </row>
    <row r="23">
      <c r="D23" s="23"/>
      <c r="E23" s="23"/>
      <c r="F23" s="23"/>
      <c r="G23" s="22"/>
      <c r="H23" s="23"/>
      <c r="I23" s="23"/>
      <c r="J23" s="23"/>
    </row>
    <row r="24">
      <c r="A24" s="11" t="s">
        <v>25</v>
      </c>
      <c r="C24" s="7">
        <f>D24+E24+F24</f>
        <v>510</v>
      </c>
      <c r="D24" s="25">
        <v>320.0</v>
      </c>
      <c r="E24" s="25">
        <v>190.0</v>
      </c>
      <c r="F24" s="22"/>
      <c r="G24" s="23"/>
      <c r="H24" s="23"/>
      <c r="I24" s="23"/>
      <c r="J24" s="23"/>
    </row>
    <row r="25">
      <c r="G25" s="22"/>
      <c r="H25" s="23"/>
      <c r="I25" s="23"/>
      <c r="J25" s="23"/>
    </row>
    <row r="26">
      <c r="D26" s="23"/>
      <c r="E26" s="23"/>
      <c r="F26" s="23"/>
      <c r="G26" s="22"/>
      <c r="H26" s="23"/>
      <c r="I26" s="23"/>
      <c r="J26" s="23"/>
    </row>
    <row r="27">
      <c r="A27" s="28" t="s">
        <v>14</v>
      </c>
      <c r="C27" s="7">
        <f>D27+E27+F27</f>
        <v>0</v>
      </c>
      <c r="D27" s="25">
        <v>0.0</v>
      </c>
      <c r="E27" s="25">
        <v>0.0</v>
      </c>
      <c r="F27" s="25">
        <v>0.0</v>
      </c>
      <c r="G27" s="23"/>
      <c r="H27" s="23"/>
      <c r="I27" s="23"/>
      <c r="J27" s="23"/>
    </row>
    <row r="28">
      <c r="G28" s="22"/>
      <c r="H28" s="23"/>
      <c r="I28" s="23"/>
      <c r="J28" s="23"/>
    </row>
    <row r="29">
      <c r="D29" s="23"/>
      <c r="E29" s="23"/>
      <c r="F29" s="23"/>
      <c r="G29" s="22"/>
      <c r="H29" s="23"/>
      <c r="I29" s="23"/>
      <c r="J29" s="23"/>
    </row>
    <row r="30">
      <c r="A30" s="11" t="s">
        <v>15</v>
      </c>
      <c r="C30" s="7">
        <f>D30+E30+F30</f>
        <v>400</v>
      </c>
      <c r="D30" s="25">
        <v>313.0</v>
      </c>
      <c r="E30" s="25">
        <v>87.0</v>
      </c>
      <c r="F30" s="22"/>
      <c r="G30" s="23"/>
      <c r="H30" s="23"/>
      <c r="I30" s="23"/>
      <c r="J30" s="23"/>
    </row>
    <row r="31">
      <c r="G31" s="22"/>
      <c r="H31" s="23"/>
      <c r="I31" s="23"/>
      <c r="J31" s="23"/>
    </row>
    <row r="32">
      <c r="D32" s="23"/>
      <c r="E32" s="23"/>
      <c r="F32" s="23"/>
      <c r="G32" s="22"/>
      <c r="H32" s="23"/>
      <c r="I32" s="23"/>
      <c r="J32" s="23"/>
    </row>
    <row r="33">
      <c r="A33" s="11" t="s">
        <v>16</v>
      </c>
      <c r="C33" s="7">
        <f>D33+E33+F33</f>
        <v>600</v>
      </c>
      <c r="D33" s="25">
        <v>520.0</v>
      </c>
      <c r="E33" s="25">
        <v>80.0</v>
      </c>
      <c r="F33" s="22"/>
      <c r="G33" s="23"/>
      <c r="H33" s="23"/>
      <c r="I33" s="23"/>
      <c r="J33" s="23"/>
    </row>
    <row r="34">
      <c r="G34" s="22"/>
      <c r="H34" s="23"/>
      <c r="I34" s="23"/>
      <c r="J34" s="23"/>
    </row>
    <row r="35">
      <c r="D35" s="23"/>
      <c r="E35" s="23"/>
      <c r="F35" s="23"/>
      <c r="G35" s="22"/>
      <c r="H35" s="23"/>
      <c r="I35" s="23"/>
      <c r="J35" s="23"/>
    </row>
    <row r="36">
      <c r="A36" s="3" t="s">
        <v>26</v>
      </c>
      <c r="C36" s="7">
        <f>D36+E36+F36</f>
        <v>510</v>
      </c>
      <c r="D36" s="25">
        <v>377.0</v>
      </c>
      <c r="E36" s="25">
        <v>133.0</v>
      </c>
      <c r="F36" s="25">
        <v>0.0</v>
      </c>
    </row>
    <row r="38">
      <c r="G38" s="29"/>
      <c r="H38" s="29"/>
      <c r="I38" s="29"/>
      <c r="J38" s="29"/>
      <c r="K38" s="29"/>
    </row>
    <row r="39">
      <c r="A39" s="13" t="s">
        <v>18</v>
      </c>
      <c r="C39" s="30">
        <f>SUM(D39:E39)</f>
        <v>500</v>
      </c>
      <c r="D39" s="6">
        <v>360.0</v>
      </c>
      <c r="E39" s="31">
        <v>140.0</v>
      </c>
      <c r="G39" s="29"/>
      <c r="H39" s="29"/>
      <c r="I39" s="29"/>
      <c r="J39" s="29"/>
      <c r="K39" s="29"/>
    </row>
    <row r="41">
      <c r="A41" s="9"/>
      <c r="C41" s="9"/>
    </row>
    <row r="42">
      <c r="A42" s="3" t="s">
        <v>19</v>
      </c>
      <c r="C42" s="30">
        <f>SUM(D42:E42)</f>
        <v>550</v>
      </c>
      <c r="D42" s="6">
        <v>400.0</v>
      </c>
      <c r="E42" s="31">
        <v>150.0</v>
      </c>
    </row>
  </sheetData>
  <mergeCells count="76">
    <mergeCell ref="A27:A28"/>
    <mergeCell ref="A30:A31"/>
    <mergeCell ref="A33:A34"/>
    <mergeCell ref="A36:A37"/>
    <mergeCell ref="A39:A40"/>
    <mergeCell ref="A42:A43"/>
    <mergeCell ref="A9:A10"/>
    <mergeCell ref="A12:A13"/>
    <mergeCell ref="B12:B37"/>
    <mergeCell ref="A15:A16"/>
    <mergeCell ref="A18:A19"/>
    <mergeCell ref="A21:A22"/>
    <mergeCell ref="A24:A25"/>
    <mergeCell ref="B39:B40"/>
    <mergeCell ref="C24:C25"/>
    <mergeCell ref="D24:D25"/>
    <mergeCell ref="E24:E25"/>
    <mergeCell ref="F24:F25"/>
    <mergeCell ref="D27:D28"/>
    <mergeCell ref="E27:E28"/>
    <mergeCell ref="F27:F28"/>
    <mergeCell ref="C27:C28"/>
    <mergeCell ref="C30:C31"/>
    <mergeCell ref="D30:D31"/>
    <mergeCell ref="E30:E31"/>
    <mergeCell ref="F30:F31"/>
    <mergeCell ref="C33:C34"/>
    <mergeCell ref="D33:D34"/>
    <mergeCell ref="F39:F40"/>
    <mergeCell ref="C41:F41"/>
    <mergeCell ref="C42:C43"/>
    <mergeCell ref="D42:D43"/>
    <mergeCell ref="E42:E43"/>
    <mergeCell ref="F42:F43"/>
    <mergeCell ref="C36:C37"/>
    <mergeCell ref="D36:D37"/>
    <mergeCell ref="E36:E37"/>
    <mergeCell ref="F36:F37"/>
    <mergeCell ref="C39:C40"/>
    <mergeCell ref="D39:D40"/>
    <mergeCell ref="E39:E40"/>
    <mergeCell ref="D6:D7"/>
    <mergeCell ref="E6:E7"/>
    <mergeCell ref="A1:F1"/>
    <mergeCell ref="A2:F2"/>
    <mergeCell ref="A3:A4"/>
    <mergeCell ref="B3:B4"/>
    <mergeCell ref="C3:F4"/>
    <mergeCell ref="C5:F5"/>
    <mergeCell ref="A6:A7"/>
    <mergeCell ref="F6:F7"/>
    <mergeCell ref="B6:B7"/>
    <mergeCell ref="C6:C7"/>
    <mergeCell ref="B9:B10"/>
    <mergeCell ref="C9:C10"/>
    <mergeCell ref="D9:D10"/>
    <mergeCell ref="E9:E10"/>
    <mergeCell ref="F9:F10"/>
    <mergeCell ref="C12:C13"/>
    <mergeCell ref="D12:D13"/>
    <mergeCell ref="E12:E13"/>
    <mergeCell ref="F12:F13"/>
    <mergeCell ref="D15:D16"/>
    <mergeCell ref="E15:E16"/>
    <mergeCell ref="F15:F16"/>
    <mergeCell ref="E21:E22"/>
    <mergeCell ref="F21:F22"/>
    <mergeCell ref="C15:C16"/>
    <mergeCell ref="C18:C19"/>
    <mergeCell ref="D18:D19"/>
    <mergeCell ref="E18:E19"/>
    <mergeCell ref="F18:F19"/>
    <mergeCell ref="C21:C22"/>
    <mergeCell ref="D21:D22"/>
    <mergeCell ref="E33:E34"/>
    <mergeCell ref="F33:F3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3.63"/>
    <col customWidth="1" min="3" max="3" width="17.38"/>
    <col customWidth="1" min="12" max="12" width="18.0"/>
  </cols>
  <sheetData>
    <row r="1" ht="29.25" customHeight="1">
      <c r="A1" s="2" t="s">
        <v>2</v>
      </c>
    </row>
    <row r="3">
      <c r="A3" s="15" t="s">
        <v>0</v>
      </c>
      <c r="C3" s="17">
        <f>SUM(D6:L6)</f>
        <v>5305.676667</v>
      </c>
    </row>
    <row r="5">
      <c r="A5" s="32"/>
    </row>
    <row r="6">
      <c r="A6" s="16"/>
      <c r="B6" s="16"/>
      <c r="C6" s="22"/>
      <c r="D6" s="33">
        <f>SUM(D8:D155)</f>
        <v>2836.17</v>
      </c>
      <c r="I6" s="33">
        <f>SUM(I8:I150)</f>
        <v>2286.76</v>
      </c>
      <c r="L6" s="33">
        <f>SUM(L8:L150)</f>
        <v>182.7466667</v>
      </c>
    </row>
    <row r="8">
      <c r="A8" s="9"/>
      <c r="C8" s="34"/>
    </row>
    <row r="9">
      <c r="A9" s="9" t="s">
        <v>7</v>
      </c>
      <c r="C9" s="34" t="s">
        <v>0</v>
      </c>
      <c r="D9" s="34" t="s">
        <v>27</v>
      </c>
      <c r="I9" s="3" t="s">
        <v>28</v>
      </c>
      <c r="L9" s="3" t="s">
        <v>29</v>
      </c>
    </row>
    <row r="11">
      <c r="C11" s="10"/>
      <c r="D11" s="10" t="s">
        <v>0</v>
      </c>
      <c r="E11" s="35" t="s">
        <v>30</v>
      </c>
      <c r="F11" s="35" t="s">
        <v>31</v>
      </c>
      <c r="G11" s="35" t="s">
        <v>32</v>
      </c>
      <c r="H11" s="35" t="s">
        <v>33</v>
      </c>
      <c r="I11" s="3" t="s">
        <v>0</v>
      </c>
      <c r="J11" s="35" t="s">
        <v>34</v>
      </c>
      <c r="K11" s="35" t="s">
        <v>35</v>
      </c>
    </row>
    <row r="13">
      <c r="A13" s="11" t="s">
        <v>9</v>
      </c>
      <c r="C13" s="36">
        <f>D13+I13+L13</f>
        <v>252.74</v>
      </c>
      <c r="D13" s="36">
        <f>E13+F13+G13+H13</f>
        <v>0</v>
      </c>
      <c r="E13" s="37">
        <v>0.0</v>
      </c>
      <c r="F13" s="37">
        <v>0.0</v>
      </c>
      <c r="G13" s="37">
        <v>0.0</v>
      </c>
      <c r="H13" s="37">
        <v>0.0</v>
      </c>
      <c r="I13" s="38">
        <f>J13+K13</f>
        <v>244</v>
      </c>
      <c r="J13" s="37">
        <v>89.0</v>
      </c>
      <c r="K13" s="37">
        <v>155.0</v>
      </c>
      <c r="L13" s="38">
        <v>8.74</v>
      </c>
    </row>
    <row r="16">
      <c r="A16" s="11" t="s">
        <v>10</v>
      </c>
      <c r="C16" s="36">
        <f>D16+I16+L16</f>
        <v>534.14</v>
      </c>
      <c r="D16" s="36">
        <f>E16+F16+G16+H16</f>
        <v>220.42</v>
      </c>
      <c r="E16" s="37">
        <v>185.42</v>
      </c>
      <c r="F16" s="37">
        <v>35.0</v>
      </c>
      <c r="G16" s="37">
        <v>0.0</v>
      </c>
      <c r="H16" s="37">
        <v>0.0</v>
      </c>
      <c r="I16" s="38">
        <f>J16+K16</f>
        <v>302</v>
      </c>
      <c r="J16" s="37">
        <v>110.0</v>
      </c>
      <c r="K16" s="37">
        <v>192.0</v>
      </c>
      <c r="L16" s="38">
        <v>11.72</v>
      </c>
    </row>
    <row r="19">
      <c r="A19" s="12" t="s">
        <v>11</v>
      </c>
      <c r="C19" s="36">
        <f>D19+I19+L19</f>
        <v>676.06</v>
      </c>
      <c r="D19" s="36">
        <f>E19+F19+G19+H19</f>
        <v>437.33</v>
      </c>
      <c r="E19" s="37">
        <v>170.0</v>
      </c>
      <c r="F19" s="37">
        <v>57.75</v>
      </c>
      <c r="G19" s="37">
        <v>183.95</v>
      </c>
      <c r="H19" s="37">
        <v>25.63</v>
      </c>
      <c r="I19" s="38">
        <f>J19+K19</f>
        <v>222</v>
      </c>
      <c r="J19" s="37">
        <v>22.0</v>
      </c>
      <c r="K19" s="37">
        <v>200.0</v>
      </c>
      <c r="L19" s="38">
        <v>16.73</v>
      </c>
    </row>
    <row r="22">
      <c r="A22" s="11" t="s">
        <v>12</v>
      </c>
      <c r="C22" s="36">
        <f>D22+I22+L22</f>
        <v>565.06</v>
      </c>
      <c r="D22" s="36">
        <f>E22+F22+G22+H22</f>
        <v>228.58</v>
      </c>
      <c r="E22" s="37">
        <v>165.0</v>
      </c>
      <c r="F22" s="37">
        <v>63.58</v>
      </c>
      <c r="G22" s="37">
        <v>0.0</v>
      </c>
      <c r="H22" s="37">
        <v>0.0</v>
      </c>
      <c r="I22" s="38">
        <f>J22+K22</f>
        <v>281</v>
      </c>
      <c r="J22" s="37">
        <v>114.0</v>
      </c>
      <c r="K22" s="37">
        <v>167.0</v>
      </c>
      <c r="L22" s="38">
        <v>55.48</v>
      </c>
    </row>
    <row r="25">
      <c r="A25" s="11" t="s">
        <v>13</v>
      </c>
      <c r="C25" s="36">
        <f>D25+I25+L25</f>
        <v>505.73</v>
      </c>
      <c r="D25" s="36">
        <f>E25+F25+G25+H25</f>
        <v>195.5</v>
      </c>
      <c r="E25" s="37">
        <v>141.0</v>
      </c>
      <c r="F25" s="37">
        <v>54.5</v>
      </c>
      <c r="G25" s="37">
        <v>0.0</v>
      </c>
      <c r="H25" s="37">
        <v>0.0</v>
      </c>
      <c r="I25" s="38">
        <f>J25+K25</f>
        <v>298</v>
      </c>
      <c r="J25" s="37">
        <v>114.0</v>
      </c>
      <c r="K25" s="37">
        <v>184.0</v>
      </c>
      <c r="L25" s="38">
        <v>12.23</v>
      </c>
    </row>
    <row r="28">
      <c r="A28" s="12" t="s">
        <v>14</v>
      </c>
      <c r="C28" s="36">
        <f>D28+I28+L28</f>
        <v>315</v>
      </c>
      <c r="D28" s="36">
        <f>E28+F28+G28+H28</f>
        <v>315</v>
      </c>
      <c r="E28" s="37">
        <v>100.0</v>
      </c>
      <c r="F28" s="37">
        <v>215.0</v>
      </c>
      <c r="G28" s="37">
        <v>0.0</v>
      </c>
      <c r="H28" s="37">
        <v>0.0</v>
      </c>
      <c r="I28" s="38">
        <f>J28+K28</f>
        <v>0</v>
      </c>
      <c r="J28" s="37">
        <v>0.0</v>
      </c>
      <c r="K28" s="37">
        <v>0.0</v>
      </c>
      <c r="L28" s="38">
        <v>0.0</v>
      </c>
    </row>
    <row r="31">
      <c r="A31" s="11" t="s">
        <v>15</v>
      </c>
      <c r="C31" s="36">
        <f>D31+I31+L31</f>
        <v>599.2775</v>
      </c>
      <c r="D31" s="36">
        <f>E31+F31+G31+H31</f>
        <v>495.22</v>
      </c>
      <c r="E31" s="37">
        <v>131.25</v>
      </c>
      <c r="F31" s="37">
        <v>285.0</v>
      </c>
      <c r="G31" s="37">
        <v>52.27</v>
      </c>
      <c r="H31" s="37">
        <v>26.7</v>
      </c>
      <c r="I31" s="38">
        <f>J31+K31</f>
        <v>86.25</v>
      </c>
      <c r="J31" s="37">
        <v>30.06</v>
      </c>
      <c r="K31" s="37">
        <v>56.19</v>
      </c>
      <c r="L31" s="38">
        <f>213.69/12</f>
        <v>17.8075</v>
      </c>
    </row>
    <row r="34">
      <c r="A34" s="11" t="s">
        <v>16</v>
      </c>
      <c r="C34" s="36">
        <f>D34+I34+L34</f>
        <v>597.6675</v>
      </c>
      <c r="D34" s="36">
        <f>E34+F34+G34+H34</f>
        <v>495.22</v>
      </c>
      <c r="E34" s="37">
        <v>131.25</v>
      </c>
      <c r="F34" s="37">
        <v>285.0</v>
      </c>
      <c r="G34" s="37">
        <v>52.27</v>
      </c>
      <c r="H34" s="37">
        <v>26.7</v>
      </c>
      <c r="I34" s="38">
        <f>J34+K34</f>
        <v>85.51</v>
      </c>
      <c r="J34" s="37">
        <v>29.8</v>
      </c>
      <c r="K34" s="37">
        <v>55.71</v>
      </c>
      <c r="L34" s="38">
        <f>203.25/12</f>
        <v>16.9375</v>
      </c>
    </row>
    <row r="37">
      <c r="A37" s="3" t="s">
        <v>17</v>
      </c>
      <c r="C37" s="36">
        <f>D37+I37+L37</f>
        <v>708.4783333</v>
      </c>
      <c r="D37" s="36">
        <f>E37+F37+G37+H37</f>
        <v>448.9</v>
      </c>
      <c r="E37" s="37">
        <v>174.37</v>
      </c>
      <c r="F37" s="37">
        <v>85.0</v>
      </c>
      <c r="G37" s="37">
        <v>119.54</v>
      </c>
      <c r="H37" s="37">
        <v>69.99</v>
      </c>
      <c r="I37" s="38">
        <f>J37+K37</f>
        <v>250</v>
      </c>
      <c r="J37" s="37">
        <v>95.0</v>
      </c>
      <c r="K37" s="37">
        <v>155.0</v>
      </c>
      <c r="L37" s="38">
        <f>114.94/12</f>
        <v>9.578333333</v>
      </c>
    </row>
    <row r="40">
      <c r="A40" s="13" t="s">
        <v>18</v>
      </c>
      <c r="C40" s="7">
        <f>D40+I40+L40</f>
        <v>245.7616667</v>
      </c>
      <c r="D40" s="7">
        <f>E40+F40+G40+H40</f>
        <v>0</v>
      </c>
      <c r="E40" s="37">
        <v>0.0</v>
      </c>
      <c r="F40" s="37">
        <v>0.0</v>
      </c>
      <c r="G40" s="37">
        <v>0.0</v>
      </c>
      <c r="H40" s="37">
        <v>0.0</v>
      </c>
      <c r="I40" s="7">
        <f>J40+K40</f>
        <v>229</v>
      </c>
      <c r="J40" s="37">
        <v>109.0</v>
      </c>
      <c r="K40" s="37">
        <v>120.0</v>
      </c>
      <c r="L40" s="38">
        <f>201.14/12</f>
        <v>16.76166667</v>
      </c>
    </row>
    <row r="43">
      <c r="A43" s="3" t="s">
        <v>19</v>
      </c>
      <c r="C43" s="7">
        <f>D43+I43+L43</f>
        <v>305.7616667</v>
      </c>
      <c r="D43" s="7">
        <f>E43+F43+G43+H43</f>
        <v>0</v>
      </c>
      <c r="E43" s="37"/>
      <c r="F43" s="37"/>
      <c r="G43" s="37">
        <v>0.0</v>
      </c>
      <c r="H43" s="37">
        <v>0.0</v>
      </c>
      <c r="I43" s="7">
        <f>J43+K43</f>
        <v>289</v>
      </c>
      <c r="J43" s="37">
        <v>106.0</v>
      </c>
      <c r="K43" s="37">
        <v>183.0</v>
      </c>
      <c r="L43" s="38">
        <f>201.14/12</f>
        <v>16.76166667</v>
      </c>
    </row>
    <row r="79">
      <c r="D79" s="39"/>
    </row>
  </sheetData>
  <mergeCells count="148">
    <mergeCell ref="C6:C7"/>
    <mergeCell ref="D6:H7"/>
    <mergeCell ref="I6:K7"/>
    <mergeCell ref="L6:L7"/>
    <mergeCell ref="A6:A7"/>
    <mergeCell ref="A9:A10"/>
    <mergeCell ref="C9:C10"/>
    <mergeCell ref="D9:H10"/>
    <mergeCell ref="I9:K10"/>
    <mergeCell ref="L9:L10"/>
    <mergeCell ref="C13:C14"/>
    <mergeCell ref="D13:D14"/>
    <mergeCell ref="E13:E14"/>
    <mergeCell ref="F13:F14"/>
    <mergeCell ref="A3:B4"/>
    <mergeCell ref="A13:A14"/>
    <mergeCell ref="G13:G14"/>
    <mergeCell ref="H13:H14"/>
    <mergeCell ref="I13:I14"/>
    <mergeCell ref="J13:J14"/>
    <mergeCell ref="K13:K14"/>
    <mergeCell ref="L13:L14"/>
    <mergeCell ref="H16:H17"/>
    <mergeCell ref="I16:I17"/>
    <mergeCell ref="C15:L15"/>
    <mergeCell ref="A16:A17"/>
    <mergeCell ref="C16:C17"/>
    <mergeCell ref="D16:D17"/>
    <mergeCell ref="E16:E17"/>
    <mergeCell ref="F16:F17"/>
    <mergeCell ref="G16:G17"/>
    <mergeCell ref="L16:L17"/>
    <mergeCell ref="J16:J17"/>
    <mergeCell ref="K16:K17"/>
    <mergeCell ref="H19:H20"/>
    <mergeCell ref="I19:I20"/>
    <mergeCell ref="C18:L18"/>
    <mergeCell ref="A19:A20"/>
    <mergeCell ref="C19:C20"/>
    <mergeCell ref="D19:D20"/>
    <mergeCell ref="E19:E20"/>
    <mergeCell ref="F19:F20"/>
    <mergeCell ref="G19:G20"/>
    <mergeCell ref="L19:L20"/>
    <mergeCell ref="J19:J20"/>
    <mergeCell ref="K19:K20"/>
    <mergeCell ref="H22:H23"/>
    <mergeCell ref="I22:I23"/>
    <mergeCell ref="C21:L21"/>
    <mergeCell ref="A22:A23"/>
    <mergeCell ref="C22:C23"/>
    <mergeCell ref="D22:D23"/>
    <mergeCell ref="E22:E23"/>
    <mergeCell ref="F22:F23"/>
    <mergeCell ref="G22:G23"/>
    <mergeCell ref="L22:L23"/>
    <mergeCell ref="J22:J23"/>
    <mergeCell ref="K22:K23"/>
    <mergeCell ref="H25:H26"/>
    <mergeCell ref="I25:I26"/>
    <mergeCell ref="C24:L24"/>
    <mergeCell ref="A25:A26"/>
    <mergeCell ref="C25:C26"/>
    <mergeCell ref="D25:D26"/>
    <mergeCell ref="E25:E26"/>
    <mergeCell ref="F25:F26"/>
    <mergeCell ref="G25:G26"/>
    <mergeCell ref="L25:L26"/>
    <mergeCell ref="J25:J26"/>
    <mergeCell ref="K25:K26"/>
    <mergeCell ref="H28:H29"/>
    <mergeCell ref="I28:I29"/>
    <mergeCell ref="C27:L27"/>
    <mergeCell ref="A28:A29"/>
    <mergeCell ref="C28:C29"/>
    <mergeCell ref="D28:D29"/>
    <mergeCell ref="E28:E29"/>
    <mergeCell ref="F28:F29"/>
    <mergeCell ref="G28:G29"/>
    <mergeCell ref="L28:L29"/>
    <mergeCell ref="J28:J29"/>
    <mergeCell ref="K28:K29"/>
    <mergeCell ref="H31:H32"/>
    <mergeCell ref="I31:I32"/>
    <mergeCell ref="J31:J32"/>
    <mergeCell ref="K31:K32"/>
    <mergeCell ref="C36:L36"/>
    <mergeCell ref="A37:A38"/>
    <mergeCell ref="C37:C38"/>
    <mergeCell ref="D37:D38"/>
    <mergeCell ref="E37:E38"/>
    <mergeCell ref="F37:F38"/>
    <mergeCell ref="G37:G38"/>
    <mergeCell ref="L37:L38"/>
    <mergeCell ref="F40:F41"/>
    <mergeCell ref="G40:G41"/>
    <mergeCell ref="H40:H41"/>
    <mergeCell ref="I40:I41"/>
    <mergeCell ref="J40:J41"/>
    <mergeCell ref="K40:K41"/>
    <mergeCell ref="B6:B44"/>
    <mergeCell ref="A43:A44"/>
    <mergeCell ref="A1:L1"/>
    <mergeCell ref="A2:L2"/>
    <mergeCell ref="C3:L4"/>
    <mergeCell ref="A5:L5"/>
    <mergeCell ref="C8:L8"/>
    <mergeCell ref="C12:L12"/>
    <mergeCell ref="L40:L41"/>
    <mergeCell ref="H43:H44"/>
    <mergeCell ref="I43:I44"/>
    <mergeCell ref="J43:J44"/>
    <mergeCell ref="K43:K44"/>
    <mergeCell ref="L43:L44"/>
    <mergeCell ref="A73:L73"/>
    <mergeCell ref="D40:D41"/>
    <mergeCell ref="E40:E41"/>
    <mergeCell ref="C43:C44"/>
    <mergeCell ref="D43:D44"/>
    <mergeCell ref="E43:E44"/>
    <mergeCell ref="F43:F44"/>
    <mergeCell ref="G43:G44"/>
    <mergeCell ref="C30:L30"/>
    <mergeCell ref="A31:A32"/>
    <mergeCell ref="C31:C32"/>
    <mergeCell ref="D31:D32"/>
    <mergeCell ref="E31:E32"/>
    <mergeCell ref="F31:F32"/>
    <mergeCell ref="G31:G32"/>
    <mergeCell ref="L31:L32"/>
    <mergeCell ref="H34:H35"/>
    <mergeCell ref="I34:I35"/>
    <mergeCell ref="C33:L33"/>
    <mergeCell ref="A34:A35"/>
    <mergeCell ref="C34:C35"/>
    <mergeCell ref="D34:D35"/>
    <mergeCell ref="E34:E35"/>
    <mergeCell ref="F34:F35"/>
    <mergeCell ref="G34:G35"/>
    <mergeCell ref="L34:L35"/>
    <mergeCell ref="J34:J35"/>
    <mergeCell ref="K34:K35"/>
    <mergeCell ref="H37:H38"/>
    <mergeCell ref="I37:I38"/>
    <mergeCell ref="J37:J38"/>
    <mergeCell ref="K37:K38"/>
    <mergeCell ref="A40:A41"/>
    <mergeCell ref="C40:C4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38"/>
    <col customWidth="1" min="2" max="2" width="10.13"/>
    <col customWidth="1" min="3" max="3" width="19.75"/>
    <col customWidth="1" min="4" max="4" width="15.25"/>
    <col customWidth="1" min="5" max="5" width="24.63"/>
  </cols>
  <sheetData>
    <row r="1" ht="32.25" customHeight="1">
      <c r="A1" s="2" t="s">
        <v>36</v>
      </c>
    </row>
    <row r="3">
      <c r="A3" s="15" t="s">
        <v>0</v>
      </c>
      <c r="C3" s="17">
        <f>SUM(C9:C50)</f>
        <v>344.32</v>
      </c>
    </row>
    <row r="6">
      <c r="A6" s="9" t="s">
        <v>7</v>
      </c>
      <c r="C6" s="40" t="s">
        <v>0</v>
      </c>
      <c r="D6" s="40" t="s">
        <v>37</v>
      </c>
      <c r="E6" s="3" t="s">
        <v>38</v>
      </c>
      <c r="F6" s="3" t="s">
        <v>39</v>
      </c>
      <c r="G6" s="3" t="s">
        <v>40</v>
      </c>
    </row>
    <row r="9">
      <c r="A9" s="11" t="s">
        <v>9</v>
      </c>
      <c r="C9" s="7">
        <f>D9-E9-F9-G9</f>
        <v>281</v>
      </c>
      <c r="D9" s="7">
        <f>Einnahmen!D12+Einnahmen!F12</f>
        <v>370</v>
      </c>
      <c r="E9" s="7">
        <f>Ausgaben!J13</f>
        <v>89</v>
      </c>
      <c r="F9" s="38">
        <f>Ausgaben!E13+Ausgaben!G13</f>
        <v>0</v>
      </c>
      <c r="G9" s="38">
        <f>Ausgaben!F13+Ausgaben!H13</f>
        <v>0</v>
      </c>
    </row>
    <row r="12">
      <c r="A12" s="11" t="s">
        <v>10</v>
      </c>
      <c r="C12" s="7">
        <f>D12-E12-F12-G12</f>
        <v>59.58</v>
      </c>
      <c r="D12" s="7">
        <f>Einnahmen!D15+Einnahmen!F15</f>
        <v>390</v>
      </c>
      <c r="E12" s="7">
        <f>Ausgaben!J16</f>
        <v>110</v>
      </c>
      <c r="F12" s="38">
        <f>Ausgaben!E16+Ausgaben!G16</f>
        <v>185.42</v>
      </c>
      <c r="G12" s="38">
        <f>Ausgaben!F16+Ausgaben!H16</f>
        <v>35</v>
      </c>
    </row>
    <row r="15">
      <c r="A15" s="12" t="s">
        <v>11</v>
      </c>
      <c r="C15" s="7">
        <f>D15-E15-F15-G15</f>
        <v>40.67</v>
      </c>
      <c r="D15" s="7">
        <f>Einnahmen!D18+Einnahmen!F18</f>
        <v>500</v>
      </c>
      <c r="E15" s="7">
        <f>Ausgaben!J19</f>
        <v>22</v>
      </c>
      <c r="F15" s="38">
        <f>Ausgaben!E19+Ausgaben!G19</f>
        <v>353.95</v>
      </c>
      <c r="G15" s="38">
        <f>Ausgaben!F19+Ausgaben!H19</f>
        <v>83.38</v>
      </c>
    </row>
    <row r="18">
      <c r="A18" s="11" t="s">
        <v>12</v>
      </c>
      <c r="C18" s="7">
        <f>D18-E18-F18-G18</f>
        <v>106.77</v>
      </c>
      <c r="D18" s="7">
        <f>Einnahmen!D21+Einnahmen!F21</f>
        <v>449.35</v>
      </c>
      <c r="E18" s="7">
        <f>Ausgaben!J22</f>
        <v>114</v>
      </c>
      <c r="F18" s="38">
        <f>Ausgaben!E22+Ausgaben!G22</f>
        <v>165</v>
      </c>
      <c r="G18" s="38">
        <f>Ausgaben!F22+Ausgaben!H22</f>
        <v>63.58</v>
      </c>
    </row>
    <row r="21">
      <c r="A21" s="11" t="s">
        <v>13</v>
      </c>
      <c r="C21" s="7">
        <f>D21-E21-F21-G21</f>
        <v>10.5</v>
      </c>
      <c r="D21" s="7">
        <f>Einnahmen!D24+Einnahmen!F24</f>
        <v>320</v>
      </c>
      <c r="E21" s="7">
        <f>Ausgaben!J25</f>
        <v>114</v>
      </c>
      <c r="F21" s="38">
        <f>Ausgaben!E25+Ausgaben!G25</f>
        <v>141</v>
      </c>
      <c r="G21" s="38">
        <f>Ausgaben!F25+Ausgaben!H25</f>
        <v>54.5</v>
      </c>
    </row>
    <row r="24">
      <c r="A24" s="12" t="s">
        <v>14</v>
      </c>
      <c r="C24" s="7">
        <f>D24-E24-F24-G24</f>
        <v>-315</v>
      </c>
      <c r="D24" s="7">
        <f>Einnahmen!D27+Einnahmen!F27</f>
        <v>0</v>
      </c>
      <c r="E24" s="7">
        <f>Ausgaben!J28</f>
        <v>0</v>
      </c>
      <c r="F24" s="38">
        <f>Ausgaben!E28+Ausgaben!G28</f>
        <v>100</v>
      </c>
      <c r="G24" s="38">
        <f>Ausgaben!F28+Ausgaben!H28</f>
        <v>215</v>
      </c>
    </row>
    <row r="27">
      <c r="A27" s="11" t="s">
        <v>15</v>
      </c>
      <c r="C27" s="7">
        <f>D27-E27-F27-G27</f>
        <v>-212.28</v>
      </c>
      <c r="D27" s="7">
        <f>Einnahmen!D30+Einnahmen!F30</f>
        <v>313</v>
      </c>
      <c r="E27" s="7">
        <f>Ausgaben!J31</f>
        <v>30.06</v>
      </c>
      <c r="F27" s="38">
        <f>Ausgaben!E31+Ausgaben!G31</f>
        <v>183.52</v>
      </c>
      <c r="G27" s="38">
        <f>Ausgaben!F31+Ausgaben!H31</f>
        <v>311.7</v>
      </c>
    </row>
    <row r="30">
      <c r="A30" s="11" t="s">
        <v>16</v>
      </c>
      <c r="C30" s="7">
        <f>D30-E30-F30-G30</f>
        <v>-5.02</v>
      </c>
      <c r="D30" s="7">
        <f>Einnahmen!D33+Einnahmen!F33</f>
        <v>520</v>
      </c>
      <c r="E30" s="7">
        <f>Ausgaben!J34</f>
        <v>29.8</v>
      </c>
      <c r="F30" s="38">
        <f>Ausgaben!E34+Ausgaben!G34</f>
        <v>183.52</v>
      </c>
      <c r="G30" s="38">
        <f>Ausgaben!F34+Ausgaben!H34</f>
        <v>311.7</v>
      </c>
    </row>
    <row r="33">
      <c r="A33" s="3" t="s">
        <v>17</v>
      </c>
      <c r="C33" s="7">
        <f>D33-E33-F33-G33</f>
        <v>-166.9</v>
      </c>
      <c r="D33" s="7">
        <f>Einnahmen!D36+Einnahmen!F36</f>
        <v>377</v>
      </c>
      <c r="E33" s="7">
        <f>Ausgaben!J37</f>
        <v>95</v>
      </c>
      <c r="F33" s="38">
        <f>Ausgaben!E37+Ausgaben!G37</f>
        <v>293.91</v>
      </c>
      <c r="G33" s="38">
        <f>Ausgaben!F37+Ausgaben!H37</f>
        <v>154.99</v>
      </c>
    </row>
    <row r="36">
      <c r="A36" s="41" t="s">
        <v>41</v>
      </c>
      <c r="C36" s="7">
        <f>D36-E36-F36-G36</f>
        <v>251</v>
      </c>
      <c r="D36" s="7">
        <f>Einnahmen!D39+Einnahmen!F39</f>
        <v>360</v>
      </c>
      <c r="E36" s="7">
        <f>Ausgaben!J40</f>
        <v>109</v>
      </c>
      <c r="F36" s="38">
        <f>Ausgaben!E40+Ausgaben!G40</f>
        <v>0</v>
      </c>
      <c r="G36" s="38">
        <f>Ausgaben!F40+Ausgaben!H40</f>
        <v>0</v>
      </c>
    </row>
    <row r="39">
      <c r="A39" s="3" t="s">
        <v>19</v>
      </c>
      <c r="C39" s="7">
        <f>D39-E39-F39-G39</f>
        <v>294</v>
      </c>
      <c r="D39" s="7">
        <f>Einnahmen!D42+Einnahmen!F42</f>
        <v>400</v>
      </c>
      <c r="E39" s="7">
        <f>Ausgaben!J43</f>
        <v>106</v>
      </c>
      <c r="F39" s="38">
        <f>Ausgaben!E43+Ausgaben!G43</f>
        <v>0</v>
      </c>
      <c r="G39" s="38">
        <f>Ausgaben!F43+Ausgaben!H43</f>
        <v>0</v>
      </c>
    </row>
  </sheetData>
  <mergeCells count="87">
    <mergeCell ref="F18:F19"/>
    <mergeCell ref="G18:G19"/>
    <mergeCell ref="C15:C16"/>
    <mergeCell ref="D15:D16"/>
    <mergeCell ref="E15:E16"/>
    <mergeCell ref="F15:F16"/>
    <mergeCell ref="G15:G16"/>
    <mergeCell ref="C17:G17"/>
    <mergeCell ref="C20:G20"/>
    <mergeCell ref="A24:A25"/>
    <mergeCell ref="A27:A28"/>
    <mergeCell ref="A30:A31"/>
    <mergeCell ref="A33:A34"/>
    <mergeCell ref="A36:A37"/>
    <mergeCell ref="A39:A40"/>
    <mergeCell ref="A6:A7"/>
    <mergeCell ref="A9:A10"/>
    <mergeCell ref="B9:B40"/>
    <mergeCell ref="A12:A13"/>
    <mergeCell ref="A15:A16"/>
    <mergeCell ref="A18:A19"/>
    <mergeCell ref="A21:A22"/>
    <mergeCell ref="F27:F28"/>
    <mergeCell ref="G27:G28"/>
    <mergeCell ref="C24:C25"/>
    <mergeCell ref="D24:D25"/>
    <mergeCell ref="E24:E25"/>
    <mergeCell ref="F24:F25"/>
    <mergeCell ref="G24:G25"/>
    <mergeCell ref="C26:G26"/>
    <mergeCell ref="C29:G29"/>
    <mergeCell ref="C27:C28"/>
    <mergeCell ref="C30:C31"/>
    <mergeCell ref="D30:D31"/>
    <mergeCell ref="E30:E31"/>
    <mergeCell ref="F30:F31"/>
    <mergeCell ref="G30:G31"/>
    <mergeCell ref="C32:G32"/>
    <mergeCell ref="E36:E37"/>
    <mergeCell ref="F36:F37"/>
    <mergeCell ref="C36:C37"/>
    <mergeCell ref="C39:C40"/>
    <mergeCell ref="D39:D40"/>
    <mergeCell ref="E39:E40"/>
    <mergeCell ref="F39:F40"/>
    <mergeCell ref="G39:G40"/>
    <mergeCell ref="C33:C34"/>
    <mergeCell ref="D33:D34"/>
    <mergeCell ref="E33:E34"/>
    <mergeCell ref="F33:F34"/>
    <mergeCell ref="G33:G34"/>
    <mergeCell ref="D36:D37"/>
    <mergeCell ref="G36:G37"/>
    <mergeCell ref="F6:F7"/>
    <mergeCell ref="G6:G7"/>
    <mergeCell ref="A1:G1"/>
    <mergeCell ref="A2:E2"/>
    <mergeCell ref="A3:B4"/>
    <mergeCell ref="C3:G4"/>
    <mergeCell ref="B6:B7"/>
    <mergeCell ref="C6:C7"/>
    <mergeCell ref="A8:G8"/>
    <mergeCell ref="D6:D7"/>
    <mergeCell ref="E6:E7"/>
    <mergeCell ref="D9:D10"/>
    <mergeCell ref="E9:E10"/>
    <mergeCell ref="F9:F10"/>
    <mergeCell ref="G9:G10"/>
    <mergeCell ref="C11:G11"/>
    <mergeCell ref="C9:C10"/>
    <mergeCell ref="C12:C13"/>
    <mergeCell ref="D12:D13"/>
    <mergeCell ref="E12:E13"/>
    <mergeCell ref="F12:F13"/>
    <mergeCell ref="G12:G13"/>
    <mergeCell ref="C14:G14"/>
    <mergeCell ref="D18:D19"/>
    <mergeCell ref="E18:E19"/>
    <mergeCell ref="C18:C19"/>
    <mergeCell ref="C21:C22"/>
    <mergeCell ref="D21:D22"/>
    <mergeCell ref="E21:E22"/>
    <mergeCell ref="F21:F22"/>
    <mergeCell ref="G21:G22"/>
    <mergeCell ref="C23:G23"/>
    <mergeCell ref="D27:D28"/>
    <mergeCell ref="E27:E2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3" max="3" width="21.5"/>
    <col customWidth="1" min="4" max="4" width="23.13"/>
    <col customWidth="1" min="5" max="5" width="14.75"/>
    <col customWidth="1" min="6" max="6" width="18.13"/>
  </cols>
  <sheetData>
    <row r="1" ht="33.75" customHeight="1">
      <c r="A1" s="2" t="s">
        <v>42</v>
      </c>
    </row>
    <row r="3">
      <c r="A3" s="2" t="s">
        <v>0</v>
      </c>
      <c r="C3" s="5">
        <f>SUM(C9:C50)</f>
        <v>1950.64</v>
      </c>
    </row>
    <row r="6">
      <c r="A6" s="9" t="s">
        <v>7</v>
      </c>
      <c r="C6" s="40" t="s">
        <v>43</v>
      </c>
      <c r="D6" s="40" t="s">
        <v>44</v>
      </c>
      <c r="E6" s="3" t="s">
        <v>40</v>
      </c>
      <c r="F6" s="3" t="s">
        <v>45</v>
      </c>
    </row>
    <row r="8">
      <c r="C8" s="3"/>
      <c r="D8" s="3"/>
      <c r="E8" s="3"/>
    </row>
    <row r="9">
      <c r="A9" s="11" t="s">
        <v>9</v>
      </c>
      <c r="C9" s="7">
        <f>D9-E9-F9</f>
        <v>281</v>
      </c>
      <c r="D9" s="7">
        <f>Einnahmen!D12+Einnahmen!F12</f>
        <v>370</v>
      </c>
      <c r="E9" s="7">
        <f>Ausgaben!F13+Ausgaben!H13</f>
        <v>0</v>
      </c>
      <c r="F9" s="7">
        <f>Ausgaben!J13</f>
        <v>89</v>
      </c>
    </row>
    <row r="12">
      <c r="A12" s="11" t="s">
        <v>10</v>
      </c>
      <c r="C12" s="7">
        <f>D12-E12-F12</f>
        <v>245</v>
      </c>
      <c r="D12" s="7">
        <f>Einnahmen!D15+Einnahmen!F15</f>
        <v>390</v>
      </c>
      <c r="E12" s="7">
        <f>Ausgaben!F16+Ausgaben!H16</f>
        <v>35</v>
      </c>
      <c r="F12" s="7">
        <f>Ausgaben!J16</f>
        <v>110</v>
      </c>
    </row>
    <row r="15">
      <c r="A15" s="12" t="s">
        <v>11</v>
      </c>
      <c r="C15" s="7">
        <f>D15-E15-F15</f>
        <v>394.62</v>
      </c>
      <c r="D15" s="7">
        <f>Einnahmen!D18+Einnahmen!F18</f>
        <v>500</v>
      </c>
      <c r="E15" s="7">
        <f>Ausgaben!F19+Ausgaben!H19</f>
        <v>83.38</v>
      </c>
      <c r="F15" s="7">
        <f>Ausgaben!J19</f>
        <v>22</v>
      </c>
    </row>
    <row r="18">
      <c r="A18" s="11" t="s">
        <v>12</v>
      </c>
      <c r="C18" s="7">
        <f>D18-E18-F18</f>
        <v>271.77</v>
      </c>
      <c r="D18" s="7">
        <f>Einnahmen!D21+Einnahmen!F21</f>
        <v>449.35</v>
      </c>
      <c r="E18" s="7">
        <f>Ausgaben!F22+Ausgaben!H22</f>
        <v>63.58</v>
      </c>
      <c r="F18" s="7">
        <f>Ausgaben!J22</f>
        <v>114</v>
      </c>
    </row>
    <row r="21">
      <c r="A21" s="11" t="s">
        <v>13</v>
      </c>
      <c r="C21" s="7">
        <f>D21-E21-F21</f>
        <v>151.5</v>
      </c>
      <c r="D21" s="7">
        <f>Einnahmen!D24+Einnahmen!F24</f>
        <v>320</v>
      </c>
      <c r="E21" s="7">
        <f>Ausgaben!F25+Ausgaben!H25</f>
        <v>54.5</v>
      </c>
      <c r="F21" s="7">
        <f>Ausgaben!J25</f>
        <v>114</v>
      </c>
    </row>
    <row r="24">
      <c r="A24" s="12" t="s">
        <v>14</v>
      </c>
      <c r="C24" s="7">
        <f>D24-E24-F24</f>
        <v>-215</v>
      </c>
      <c r="D24" s="7">
        <f>Einnahmen!D27+Einnahmen!F27</f>
        <v>0</v>
      </c>
      <c r="E24" s="7">
        <f>Ausgaben!F28+Ausgaben!H28</f>
        <v>215</v>
      </c>
      <c r="F24" s="7">
        <f>Ausgaben!J28</f>
        <v>0</v>
      </c>
    </row>
    <row r="27">
      <c r="A27" s="11" t="s">
        <v>15</v>
      </c>
      <c r="C27" s="7">
        <f>D27-E27-F27</f>
        <v>-28.76</v>
      </c>
      <c r="D27" s="7">
        <f>Einnahmen!D30+Einnahmen!F30</f>
        <v>313</v>
      </c>
      <c r="E27" s="7">
        <f>Ausgaben!F31+Ausgaben!H31</f>
        <v>311.7</v>
      </c>
      <c r="F27" s="7">
        <f>Ausgaben!J31</f>
        <v>30.06</v>
      </c>
    </row>
    <row r="30">
      <c r="A30" s="11" t="s">
        <v>16</v>
      </c>
      <c r="C30" s="7">
        <f>D30-E30-F30</f>
        <v>178.5</v>
      </c>
      <c r="D30" s="7">
        <f>Einnahmen!D33+Einnahmen!F33</f>
        <v>520</v>
      </c>
      <c r="E30" s="7">
        <f>Ausgaben!F34+Ausgaben!H34</f>
        <v>311.7</v>
      </c>
      <c r="F30" s="7">
        <f>Ausgaben!J34</f>
        <v>29.8</v>
      </c>
    </row>
    <row r="33">
      <c r="A33" s="3" t="s">
        <v>17</v>
      </c>
      <c r="C33" s="7">
        <f>D33-E33-F33</f>
        <v>127.01</v>
      </c>
      <c r="D33" s="7">
        <f>Einnahmen!D36+Einnahmen!F36</f>
        <v>377</v>
      </c>
      <c r="E33" s="7">
        <f>Ausgaben!F37+Ausgaben!H37</f>
        <v>154.99</v>
      </c>
      <c r="F33" s="7">
        <f>Ausgaben!J37</f>
        <v>95</v>
      </c>
    </row>
    <row r="36">
      <c r="A36" s="13" t="s">
        <v>46</v>
      </c>
      <c r="B36" s="2"/>
      <c r="C36" s="7">
        <f>D36-E36-F36</f>
        <v>251</v>
      </c>
      <c r="D36" s="7">
        <f>Einnahmen!D39+Einnahmen!F39</f>
        <v>360</v>
      </c>
      <c r="E36" s="7">
        <f>Ausgaben!F40+Ausgaben!H40</f>
        <v>0</v>
      </c>
      <c r="F36" s="7">
        <f>Ausgaben!J40</f>
        <v>109</v>
      </c>
    </row>
    <row r="37">
      <c r="B37" s="2"/>
    </row>
    <row r="39">
      <c r="A39" s="3" t="s">
        <v>19</v>
      </c>
      <c r="C39" s="7">
        <f>D39-E39-F39</f>
        <v>294</v>
      </c>
      <c r="D39" s="7">
        <f>Einnahmen!D42+Einnahmen!F42</f>
        <v>400</v>
      </c>
      <c r="E39" s="7">
        <f>Ausgaben!F43+Ausgaben!H43</f>
        <v>0</v>
      </c>
      <c r="F39" s="7">
        <f>Ausgaben!J43</f>
        <v>106</v>
      </c>
    </row>
  </sheetData>
  <mergeCells count="63">
    <mergeCell ref="D18:D19"/>
    <mergeCell ref="E18:E19"/>
    <mergeCell ref="D21:D22"/>
    <mergeCell ref="E21:E22"/>
    <mergeCell ref="F21:F22"/>
    <mergeCell ref="E24:E25"/>
    <mergeCell ref="F24:F25"/>
    <mergeCell ref="D24:D25"/>
    <mergeCell ref="D27:D28"/>
    <mergeCell ref="E27:E28"/>
    <mergeCell ref="F27:F28"/>
    <mergeCell ref="D30:D31"/>
    <mergeCell ref="E30:E31"/>
    <mergeCell ref="F30:F31"/>
    <mergeCell ref="A1:F1"/>
    <mergeCell ref="A3:A4"/>
    <mergeCell ref="C3:F4"/>
    <mergeCell ref="C6:C7"/>
    <mergeCell ref="D6:D7"/>
    <mergeCell ref="E6:E7"/>
    <mergeCell ref="F6:F7"/>
    <mergeCell ref="E12:E13"/>
    <mergeCell ref="F12:F13"/>
    <mergeCell ref="A6:A7"/>
    <mergeCell ref="A9:A10"/>
    <mergeCell ref="C9:C10"/>
    <mergeCell ref="D9:D10"/>
    <mergeCell ref="E9:E10"/>
    <mergeCell ref="F9:F10"/>
    <mergeCell ref="A12:A13"/>
    <mergeCell ref="A18:A19"/>
    <mergeCell ref="A21:A22"/>
    <mergeCell ref="A24:A25"/>
    <mergeCell ref="A27:A28"/>
    <mergeCell ref="A30:A31"/>
    <mergeCell ref="A33:A34"/>
    <mergeCell ref="A36:A37"/>
    <mergeCell ref="A39:A40"/>
    <mergeCell ref="C12:C13"/>
    <mergeCell ref="D12:D13"/>
    <mergeCell ref="A15:A16"/>
    <mergeCell ref="D15:D16"/>
    <mergeCell ref="E15:E16"/>
    <mergeCell ref="F15:F16"/>
    <mergeCell ref="F18:F19"/>
    <mergeCell ref="D33:D34"/>
    <mergeCell ref="E33:E34"/>
    <mergeCell ref="F33:F34"/>
    <mergeCell ref="D36:D37"/>
    <mergeCell ref="E36:E37"/>
    <mergeCell ref="F36:F37"/>
    <mergeCell ref="C36:C37"/>
    <mergeCell ref="C39:C40"/>
    <mergeCell ref="D39:D40"/>
    <mergeCell ref="E39:E40"/>
    <mergeCell ref="F39:F40"/>
    <mergeCell ref="C15:C16"/>
    <mergeCell ref="C18:C19"/>
    <mergeCell ref="C21:C22"/>
    <mergeCell ref="C24:C25"/>
    <mergeCell ref="C27:C28"/>
    <mergeCell ref="C30:C31"/>
    <mergeCell ref="C33:C3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38"/>
    <col customWidth="1" min="2" max="2" width="4.75"/>
    <col customWidth="1" min="3" max="3" width="22.13"/>
    <col customWidth="1" min="4" max="4" width="18.13"/>
    <col customWidth="1" min="6" max="6" width="13.75"/>
    <col customWidth="1" min="8" max="8" width="28.0"/>
    <col customWidth="1" min="9" max="9" width="21.63"/>
  </cols>
  <sheetData>
    <row r="1">
      <c r="A1" s="14" t="s">
        <v>47</v>
      </c>
    </row>
    <row r="3">
      <c r="A3" s="2" t="s">
        <v>0</v>
      </c>
      <c r="C3" s="42">
        <f>SUM(C13:C50)</f>
        <v>464.015</v>
      </c>
    </row>
    <row r="4" ht="27.75" customHeight="1"/>
    <row r="6">
      <c r="A6" s="32"/>
      <c r="B6" s="32"/>
      <c r="C6" s="43">
        <f>SUM(C13:C50)</f>
        <v>464.015</v>
      </c>
      <c r="D6" s="16"/>
      <c r="E6" s="43">
        <f>SUM(E13:E50)</f>
        <v>2048.71</v>
      </c>
      <c r="F6" s="22">
        <f>SUM(F13:F50)+SUM(G13:G50)</f>
        <v>1229.85</v>
      </c>
      <c r="H6" s="22">
        <f t="shared" ref="H6:I6" si="1">SUM(H13:H50)</f>
        <v>818.86</v>
      </c>
      <c r="I6" s="7">
        <f t="shared" si="1"/>
        <v>1486.625</v>
      </c>
    </row>
    <row r="7">
      <c r="B7" s="32"/>
    </row>
    <row r="8">
      <c r="A8" s="9"/>
      <c r="B8" s="19"/>
      <c r="C8" s="44"/>
      <c r="D8" s="3"/>
      <c r="E8" s="3"/>
      <c r="F8" s="11"/>
      <c r="G8" s="11"/>
      <c r="H8" s="11"/>
      <c r="I8" s="3"/>
    </row>
    <row r="9">
      <c r="A9" s="9" t="s">
        <v>7</v>
      </c>
      <c r="B9" s="19"/>
      <c r="C9" s="44" t="s">
        <v>48</v>
      </c>
      <c r="D9" s="3" t="s">
        <v>44</v>
      </c>
      <c r="E9" s="3" t="s">
        <v>0</v>
      </c>
      <c r="F9" s="11" t="s">
        <v>49</v>
      </c>
      <c r="G9" s="11" t="s">
        <v>33</v>
      </c>
      <c r="H9" s="11" t="s">
        <v>50</v>
      </c>
      <c r="I9" s="3" t="s">
        <v>51</v>
      </c>
    </row>
    <row r="13">
      <c r="A13" s="11" t="s">
        <v>9</v>
      </c>
      <c r="C13" s="7">
        <f>D13-E13-I13</f>
        <v>244.75</v>
      </c>
      <c r="D13" s="7">
        <f>Einnahmen!D12+Einnahmen!F12</f>
        <v>370</v>
      </c>
      <c r="E13" s="7">
        <f>F13+G13+H13</f>
        <v>89</v>
      </c>
      <c r="F13" s="25">
        <f>Ausgaben!F13</f>
        <v>0</v>
      </c>
      <c r="G13" s="25">
        <f>Ausgaben!H13</f>
        <v>0</v>
      </c>
      <c r="H13" s="22">
        <f>Ausgaben!J13</f>
        <v>89</v>
      </c>
      <c r="I13" s="7">
        <f>Abschreibung!C14/12</f>
        <v>36.25</v>
      </c>
    </row>
    <row r="16">
      <c r="A16" s="11" t="s">
        <v>10</v>
      </c>
      <c r="C16" s="7">
        <f>D16-E16-I16</f>
        <v>163.3333333</v>
      </c>
      <c r="D16" s="7">
        <f>Einnahmen!D15+Einnahmen!F15</f>
        <v>390</v>
      </c>
      <c r="E16" s="7">
        <f>F16+G16+H16</f>
        <v>145</v>
      </c>
      <c r="F16" s="25">
        <f>Ausgaben!F16</f>
        <v>35</v>
      </c>
      <c r="G16" s="25">
        <f>Ausgaben!H16</f>
        <v>0</v>
      </c>
      <c r="H16" s="22">
        <f>Ausgaben!J16</f>
        <v>110</v>
      </c>
      <c r="I16" s="7">
        <f>Abschreibung!C17/12</f>
        <v>81.66666667</v>
      </c>
    </row>
    <row r="18">
      <c r="F18" s="23"/>
      <c r="G18" s="23"/>
      <c r="H18" s="23"/>
    </row>
    <row r="19">
      <c r="A19" s="12" t="s">
        <v>11</v>
      </c>
      <c r="C19" s="7">
        <f>D19-E19-I19</f>
        <v>301.0366667</v>
      </c>
      <c r="D19" s="7">
        <f>Einnahmen!D18+Einnahmen!F18</f>
        <v>500</v>
      </c>
      <c r="E19" s="7">
        <f>F19+G19+H19</f>
        <v>105.38</v>
      </c>
      <c r="F19" s="25">
        <f>Ausgaben!F19</f>
        <v>57.75</v>
      </c>
      <c r="G19" s="25">
        <f>Ausgaben!H19</f>
        <v>25.63</v>
      </c>
      <c r="H19" s="22">
        <f>Ausgaben!J19</f>
        <v>22</v>
      </c>
      <c r="I19" s="7">
        <f>Abschreibung!C20/12</f>
        <v>93.58333333</v>
      </c>
    </row>
    <row r="21">
      <c r="F21" s="23"/>
      <c r="G21" s="23"/>
      <c r="H21" s="23"/>
    </row>
    <row r="22">
      <c r="A22" s="11" t="s">
        <v>12</v>
      </c>
      <c r="C22" s="7">
        <f>D22-E22-I22</f>
        <v>134.6866667</v>
      </c>
      <c r="D22" s="7">
        <f>Einnahmen!D21+Einnahmen!F21</f>
        <v>449.35</v>
      </c>
      <c r="E22" s="7">
        <f>F22+G22+H22</f>
        <v>177.58</v>
      </c>
      <c r="F22" s="25">
        <f>Ausgaben!F22</f>
        <v>63.58</v>
      </c>
      <c r="G22" s="25">
        <f>Ausgaben!H22</f>
        <v>0</v>
      </c>
      <c r="H22" s="22">
        <f>Ausgaben!J22</f>
        <v>114</v>
      </c>
      <c r="I22" s="7">
        <f>Abschreibung!C23/12</f>
        <v>137.0833333</v>
      </c>
    </row>
    <row r="24">
      <c r="F24" s="23"/>
      <c r="G24" s="23"/>
      <c r="H24" s="23"/>
    </row>
    <row r="25">
      <c r="A25" s="11" t="s">
        <v>13</v>
      </c>
      <c r="C25" s="7">
        <f>D25-E25-I25</f>
        <v>97</v>
      </c>
      <c r="D25" s="7">
        <f>Einnahmen!D24+Einnahmen!F24</f>
        <v>320</v>
      </c>
      <c r="E25" s="7">
        <f>F25+G25+H25</f>
        <v>168.5</v>
      </c>
      <c r="F25" s="25">
        <f>Ausgaben!F25</f>
        <v>54.5</v>
      </c>
      <c r="G25" s="25">
        <f>Ausgaben!H25</f>
        <v>0</v>
      </c>
      <c r="H25" s="22">
        <f>Ausgaben!J25</f>
        <v>114</v>
      </c>
      <c r="I25" s="7">
        <f>Abschreibung!C26/12</f>
        <v>54.5</v>
      </c>
    </row>
    <row r="27">
      <c r="F27" s="23"/>
      <c r="G27" s="23"/>
      <c r="H27" s="23"/>
    </row>
    <row r="28">
      <c r="A28" s="12" t="s">
        <v>14</v>
      </c>
      <c r="C28" s="7">
        <f>D28-E28-I28</f>
        <v>-301.6666667</v>
      </c>
      <c r="D28" s="7">
        <f>Einnahmen!D27+Einnahmen!F27</f>
        <v>0</v>
      </c>
      <c r="E28" s="7">
        <f>F28+G28+H28</f>
        <v>215</v>
      </c>
      <c r="F28" s="25">
        <f>Ausgaben!F28</f>
        <v>215</v>
      </c>
      <c r="G28" s="25">
        <f>Ausgaben!H28</f>
        <v>0</v>
      </c>
      <c r="H28" s="22">
        <f>Ausgaben!J28</f>
        <v>0</v>
      </c>
      <c r="I28" s="7">
        <f>Abschreibung!C29/12</f>
        <v>86.66666667</v>
      </c>
    </row>
    <row r="30">
      <c r="F30" s="23"/>
      <c r="G30" s="23"/>
      <c r="H30" s="23"/>
    </row>
    <row r="31">
      <c r="A31" s="11" t="s">
        <v>15</v>
      </c>
      <c r="C31" s="7">
        <f>D31-E31-I31</f>
        <v>-471.4683333</v>
      </c>
      <c r="D31" s="7">
        <f>Einnahmen!D30+Einnahmen!F30</f>
        <v>313</v>
      </c>
      <c r="E31" s="7">
        <f>F31+G31+H31</f>
        <v>341.76</v>
      </c>
      <c r="F31" s="25">
        <f>Ausgaben!F31</f>
        <v>285</v>
      </c>
      <c r="G31" s="25">
        <f>Ausgaben!H31</f>
        <v>26.7</v>
      </c>
      <c r="H31" s="22">
        <f>Ausgaben!J31</f>
        <v>30.06</v>
      </c>
      <c r="I31" s="7">
        <f>Abschreibung!C32/12</f>
        <v>442.7083333</v>
      </c>
    </row>
    <row r="33">
      <c r="F33" s="23"/>
      <c r="G33" s="23"/>
      <c r="H33" s="23"/>
    </row>
    <row r="34">
      <c r="A34" s="11" t="s">
        <v>16</v>
      </c>
      <c r="C34" s="7">
        <f>D34-E34-I34</f>
        <v>-259</v>
      </c>
      <c r="D34" s="7">
        <f>Einnahmen!D33+Einnahmen!F33</f>
        <v>520</v>
      </c>
      <c r="E34" s="7">
        <f>F34+G34+H34</f>
        <v>341.5</v>
      </c>
      <c r="F34" s="25">
        <f>Ausgaben!F34</f>
        <v>285</v>
      </c>
      <c r="G34" s="25">
        <f>Ausgaben!H34</f>
        <v>26.7</v>
      </c>
      <c r="H34" s="22">
        <f>Ausgaben!J34</f>
        <v>29.8</v>
      </c>
      <c r="I34" s="7">
        <f>Abschreibung!C35/12</f>
        <v>437.5</v>
      </c>
    </row>
    <row r="36">
      <c r="F36" s="23"/>
      <c r="G36" s="23"/>
      <c r="H36" s="23"/>
    </row>
    <row r="37">
      <c r="A37" s="3" t="s">
        <v>17</v>
      </c>
      <c r="C37" s="7">
        <f>D37-E37-I37</f>
        <v>85.34333333</v>
      </c>
      <c r="D37" s="7">
        <f>Einnahmen!D36+Einnahmen!F36</f>
        <v>377</v>
      </c>
      <c r="E37" s="7">
        <f>F37+G37+H37</f>
        <v>249.99</v>
      </c>
      <c r="F37" s="25">
        <f>Ausgaben!F37</f>
        <v>85</v>
      </c>
      <c r="G37" s="25">
        <f>Ausgaben!H37</f>
        <v>69.99</v>
      </c>
      <c r="H37" s="22">
        <f>Ausgaben!J37</f>
        <v>95</v>
      </c>
      <c r="I37" s="7">
        <f>Abschreibung!C38/12</f>
        <v>41.66666667</v>
      </c>
    </row>
    <row r="40">
      <c r="A40" s="13" t="s">
        <v>18</v>
      </c>
      <c r="C40" s="7">
        <f>D40-E40-I40</f>
        <v>204.3333333</v>
      </c>
      <c r="D40" s="7">
        <f>Einnahmen!D39+Einnahmen!F39</f>
        <v>360</v>
      </c>
      <c r="E40" s="7">
        <f>F40+G40+H40</f>
        <v>109</v>
      </c>
      <c r="F40" s="25">
        <f>Ausgaben!F40</f>
        <v>0</v>
      </c>
      <c r="G40" s="25">
        <f>Ausgaben!H40</f>
        <v>0</v>
      </c>
      <c r="H40" s="22">
        <f>Ausgaben!J40</f>
        <v>109</v>
      </c>
      <c r="I40" s="7">
        <f>Abschreibung!C41/12</f>
        <v>46.66666667</v>
      </c>
    </row>
    <row r="43">
      <c r="A43" s="3" t="s">
        <v>19</v>
      </c>
      <c r="C43" s="7">
        <f>D43-E43-I43</f>
        <v>265.6666667</v>
      </c>
      <c r="D43" s="7">
        <f>Einnahmen!D42+Einnahmen!F42</f>
        <v>400</v>
      </c>
      <c r="E43" s="7">
        <f>F43+G43+H43</f>
        <v>106</v>
      </c>
      <c r="F43" s="25" t="str">
        <f>Ausgaben!F43</f>
        <v/>
      </c>
      <c r="G43" s="25">
        <f>Ausgaben!H43</f>
        <v>0</v>
      </c>
      <c r="H43" s="22">
        <f>Ausgaben!J43</f>
        <v>106</v>
      </c>
      <c r="I43" s="7">
        <f>Abschreibung!C44/12</f>
        <v>28.33333333</v>
      </c>
    </row>
  </sheetData>
  <mergeCells count="108">
    <mergeCell ref="E6:E7"/>
    <mergeCell ref="F6:G7"/>
    <mergeCell ref="H6:H7"/>
    <mergeCell ref="I6:I7"/>
    <mergeCell ref="A1:H1"/>
    <mergeCell ref="A2:H2"/>
    <mergeCell ref="A3:A4"/>
    <mergeCell ref="C3:I4"/>
    <mergeCell ref="A6:A7"/>
    <mergeCell ref="C6:C7"/>
    <mergeCell ref="D6:D7"/>
    <mergeCell ref="H9:H10"/>
    <mergeCell ref="I9:I10"/>
    <mergeCell ref="A9:A10"/>
    <mergeCell ref="B9:B10"/>
    <mergeCell ref="C9:C10"/>
    <mergeCell ref="D9:D10"/>
    <mergeCell ref="E9:E10"/>
    <mergeCell ref="F9:F10"/>
    <mergeCell ref="G9:G10"/>
    <mergeCell ref="C13:C14"/>
    <mergeCell ref="D13:D14"/>
    <mergeCell ref="E13:E14"/>
    <mergeCell ref="F13:F14"/>
    <mergeCell ref="G13:G14"/>
    <mergeCell ref="H13:H14"/>
    <mergeCell ref="I13:I14"/>
    <mergeCell ref="H16:H17"/>
    <mergeCell ref="I16:I17"/>
    <mergeCell ref="D34:D35"/>
    <mergeCell ref="E34:E35"/>
    <mergeCell ref="D37:D38"/>
    <mergeCell ref="E37:E38"/>
    <mergeCell ref="F37:F38"/>
    <mergeCell ref="G37:G38"/>
    <mergeCell ref="H37:H38"/>
    <mergeCell ref="I37:I38"/>
    <mergeCell ref="F34:F35"/>
    <mergeCell ref="G34:G35"/>
    <mergeCell ref="H34:H35"/>
    <mergeCell ref="I34:I35"/>
    <mergeCell ref="A28:A29"/>
    <mergeCell ref="A31:A32"/>
    <mergeCell ref="D31:D32"/>
    <mergeCell ref="E31:E32"/>
    <mergeCell ref="F31:F32"/>
    <mergeCell ref="G31:G32"/>
    <mergeCell ref="A34:A35"/>
    <mergeCell ref="E40:E41"/>
    <mergeCell ref="F40:F41"/>
    <mergeCell ref="G40:G41"/>
    <mergeCell ref="H40:H41"/>
    <mergeCell ref="I40:I41"/>
    <mergeCell ref="C40:C41"/>
    <mergeCell ref="C43:C44"/>
    <mergeCell ref="E43:E44"/>
    <mergeCell ref="F43:F44"/>
    <mergeCell ref="G43:G44"/>
    <mergeCell ref="H43:H44"/>
    <mergeCell ref="I43:I44"/>
    <mergeCell ref="C31:C32"/>
    <mergeCell ref="C34:C35"/>
    <mergeCell ref="A37:A38"/>
    <mergeCell ref="C37:C38"/>
    <mergeCell ref="A40:A41"/>
    <mergeCell ref="D40:D41"/>
    <mergeCell ref="A43:A44"/>
    <mergeCell ref="D43:D44"/>
    <mergeCell ref="D19:D20"/>
    <mergeCell ref="E19:E20"/>
    <mergeCell ref="D22:D23"/>
    <mergeCell ref="E22:E23"/>
    <mergeCell ref="F22:F23"/>
    <mergeCell ref="G22:G23"/>
    <mergeCell ref="H22:H23"/>
    <mergeCell ref="I22:I23"/>
    <mergeCell ref="F19:F20"/>
    <mergeCell ref="G19:G20"/>
    <mergeCell ref="H19:H20"/>
    <mergeCell ref="I19:I20"/>
    <mergeCell ref="A13:A14"/>
    <mergeCell ref="A16:A17"/>
    <mergeCell ref="D16:D17"/>
    <mergeCell ref="E16:E17"/>
    <mergeCell ref="F16:F17"/>
    <mergeCell ref="G16:G17"/>
    <mergeCell ref="A19:A20"/>
    <mergeCell ref="E25:E26"/>
    <mergeCell ref="F25:F26"/>
    <mergeCell ref="G25:G26"/>
    <mergeCell ref="H25:H26"/>
    <mergeCell ref="I25:I26"/>
    <mergeCell ref="C25:C26"/>
    <mergeCell ref="C28:C29"/>
    <mergeCell ref="E28:E29"/>
    <mergeCell ref="F28:F29"/>
    <mergeCell ref="G28:G29"/>
    <mergeCell ref="H28:H29"/>
    <mergeCell ref="I28:I29"/>
    <mergeCell ref="C16:C17"/>
    <mergeCell ref="C19:C20"/>
    <mergeCell ref="A22:A23"/>
    <mergeCell ref="C22:C23"/>
    <mergeCell ref="A25:A26"/>
    <mergeCell ref="D25:D26"/>
    <mergeCell ref="D28:D29"/>
    <mergeCell ref="H31:H32"/>
    <mergeCell ref="I31:I3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38"/>
    <col customWidth="1" min="2" max="2" width="10.13"/>
    <col customWidth="1" min="3" max="3" width="15.5"/>
    <col customWidth="1" min="4" max="4" width="19.25"/>
    <col customWidth="1" min="5" max="5" width="15.5"/>
    <col customWidth="1" min="6" max="6" width="15.75"/>
  </cols>
  <sheetData>
    <row r="1" ht="32.25" customHeight="1">
      <c r="A1" s="2" t="s">
        <v>52</v>
      </c>
    </row>
    <row r="3">
      <c r="A3" s="15" t="s">
        <v>0</v>
      </c>
      <c r="B3" s="16"/>
      <c r="C3" s="17">
        <f>SUM(C9:C50)</f>
        <v>-89.99666667</v>
      </c>
      <c r="G3" s="45" t="s">
        <v>53</v>
      </c>
    </row>
    <row r="4">
      <c r="B4" s="16"/>
    </row>
    <row r="6">
      <c r="A6" s="9" t="s">
        <v>7</v>
      </c>
      <c r="C6" s="40" t="s">
        <v>0</v>
      </c>
      <c r="D6" s="40" t="s">
        <v>54</v>
      </c>
      <c r="E6" s="3" t="s">
        <v>55</v>
      </c>
      <c r="F6" s="3" t="s">
        <v>29</v>
      </c>
    </row>
    <row r="8">
      <c r="C8" s="3"/>
      <c r="D8" s="3"/>
      <c r="E8" s="3"/>
    </row>
    <row r="9">
      <c r="A9" s="11" t="s">
        <v>9</v>
      </c>
      <c r="C9" s="7">
        <f>D9-E9-F9</f>
        <v>-3.74</v>
      </c>
      <c r="D9" s="7">
        <f>Einnahmen!E12</f>
        <v>160</v>
      </c>
      <c r="E9" s="7">
        <f>Ausgaben!K13</f>
        <v>155</v>
      </c>
      <c r="F9" s="7">
        <f>Ausgaben!L13</f>
        <v>8.74</v>
      </c>
    </row>
    <row r="12">
      <c r="A12" s="11" t="s">
        <v>10</v>
      </c>
      <c r="C12" s="7">
        <f>D12-E12-F12</f>
        <v>16.28</v>
      </c>
      <c r="D12" s="7">
        <f>Einnahmen!E15</f>
        <v>220</v>
      </c>
      <c r="E12" s="7">
        <f>Ausgaben!K16</f>
        <v>192</v>
      </c>
      <c r="F12" s="7">
        <f>Ausgaben!L16</f>
        <v>11.72</v>
      </c>
    </row>
    <row r="15">
      <c r="A15" s="12" t="s">
        <v>11</v>
      </c>
      <c r="C15" s="7">
        <f>D15-E15-F15</f>
        <v>-16.73</v>
      </c>
      <c r="D15" s="7">
        <f>Einnahmen!E18</f>
        <v>200</v>
      </c>
      <c r="E15" s="7">
        <f>Ausgaben!K19</f>
        <v>200</v>
      </c>
      <c r="F15" s="7">
        <f>Ausgaben!L19</f>
        <v>16.73</v>
      </c>
    </row>
    <row r="18">
      <c r="A18" s="11" t="s">
        <v>12</v>
      </c>
      <c r="C18" s="7">
        <f>D18-E18-F18</f>
        <v>-21.83</v>
      </c>
      <c r="D18" s="7">
        <f>Einnahmen!E21</f>
        <v>200.65</v>
      </c>
      <c r="E18" s="7">
        <f>Ausgaben!K22</f>
        <v>167</v>
      </c>
      <c r="F18" s="7">
        <f>Ausgaben!L22</f>
        <v>55.48</v>
      </c>
    </row>
    <row r="21">
      <c r="A21" s="11" t="s">
        <v>13</v>
      </c>
      <c r="C21" s="7">
        <f>D21-E21-F21</f>
        <v>-6.23</v>
      </c>
      <c r="D21" s="7">
        <f>Einnahmen!E24</f>
        <v>190</v>
      </c>
      <c r="E21" s="7">
        <f>Ausgaben!K25</f>
        <v>184</v>
      </c>
      <c r="F21" s="7">
        <f>Ausgaben!L25</f>
        <v>12.23</v>
      </c>
    </row>
    <row r="24">
      <c r="A24" s="12" t="s">
        <v>14</v>
      </c>
      <c r="C24" s="7">
        <f>D24-E24-F24</f>
        <v>0</v>
      </c>
      <c r="D24" s="7">
        <f>Einnahmen!E27</f>
        <v>0</v>
      </c>
      <c r="E24" s="7">
        <f>Ausgaben!K28</f>
        <v>0</v>
      </c>
      <c r="F24" s="7">
        <f>Ausgaben!L28</f>
        <v>0</v>
      </c>
    </row>
    <row r="27">
      <c r="A27" s="11" t="s">
        <v>15</v>
      </c>
      <c r="C27" s="7">
        <f>D27-E27-F27</f>
        <v>13.0025</v>
      </c>
      <c r="D27" s="7">
        <f>Einnahmen!E30</f>
        <v>87</v>
      </c>
      <c r="E27" s="7">
        <f>Ausgaben!K31</f>
        <v>56.19</v>
      </c>
      <c r="F27" s="7">
        <f>Ausgaben!L31</f>
        <v>17.8075</v>
      </c>
    </row>
    <row r="30">
      <c r="A30" s="11" t="s">
        <v>16</v>
      </c>
      <c r="C30" s="7">
        <f>D30-E30-F30</f>
        <v>7.3525</v>
      </c>
      <c r="D30" s="7">
        <f>Einnahmen!E33</f>
        <v>80</v>
      </c>
      <c r="E30" s="7">
        <f>Ausgaben!K34</f>
        <v>55.71</v>
      </c>
      <c r="F30" s="7">
        <f>Ausgaben!L34</f>
        <v>16.9375</v>
      </c>
    </row>
    <row r="33">
      <c r="A33" s="3" t="s">
        <v>17</v>
      </c>
      <c r="C33" s="7">
        <f>D33-E33-F33</f>
        <v>-31.57833333</v>
      </c>
      <c r="D33" s="7">
        <f>Einnahmen!E36</f>
        <v>133</v>
      </c>
      <c r="E33" s="7">
        <f>Ausgaben!K37</f>
        <v>155</v>
      </c>
      <c r="F33" s="7">
        <f>Ausgaben!L37</f>
        <v>9.578333333</v>
      </c>
    </row>
    <row r="36">
      <c r="A36" s="13" t="s">
        <v>41</v>
      </c>
      <c r="B36" s="2"/>
      <c r="C36" s="7">
        <f>D36-E36-F36</f>
        <v>3.238333333</v>
      </c>
      <c r="D36" s="7">
        <f>Einnahmen!E39</f>
        <v>140</v>
      </c>
      <c r="E36" s="7">
        <f>Ausgaben!K40</f>
        <v>120</v>
      </c>
      <c r="F36" s="7">
        <f>Ausgaben!L40</f>
        <v>16.76166667</v>
      </c>
    </row>
    <row r="37">
      <c r="B37" s="2"/>
    </row>
    <row r="39">
      <c r="A39" s="3" t="s">
        <v>19</v>
      </c>
      <c r="C39" s="7">
        <f>D39-E39-F39</f>
        <v>-49.76166667</v>
      </c>
      <c r="D39" s="7">
        <f>Einnahmen!E42</f>
        <v>150</v>
      </c>
      <c r="E39" s="7">
        <f>Ausgaben!K43</f>
        <v>183</v>
      </c>
      <c r="F39" s="7">
        <f>Ausgaben!L43</f>
        <v>16.76166667</v>
      </c>
    </row>
  </sheetData>
  <mergeCells count="64">
    <mergeCell ref="A33:A34"/>
    <mergeCell ref="A36:A37"/>
    <mergeCell ref="A39:A40"/>
    <mergeCell ref="A12:A13"/>
    <mergeCell ref="A15:A16"/>
    <mergeCell ref="A18:A19"/>
    <mergeCell ref="A21:A22"/>
    <mergeCell ref="A24:A25"/>
    <mergeCell ref="A27:A28"/>
    <mergeCell ref="A30:A31"/>
    <mergeCell ref="A1:E1"/>
    <mergeCell ref="A3:A4"/>
    <mergeCell ref="C3:F4"/>
    <mergeCell ref="G3:J4"/>
    <mergeCell ref="A6:A7"/>
    <mergeCell ref="C6:C7"/>
    <mergeCell ref="D6:D7"/>
    <mergeCell ref="E6:E7"/>
    <mergeCell ref="F6:F7"/>
    <mergeCell ref="A9:A10"/>
    <mergeCell ref="D9:D10"/>
    <mergeCell ref="E9:E10"/>
    <mergeCell ref="F9:F10"/>
    <mergeCell ref="F12:F13"/>
    <mergeCell ref="D12:D13"/>
    <mergeCell ref="E12:E13"/>
    <mergeCell ref="D15:D16"/>
    <mergeCell ref="E15:E16"/>
    <mergeCell ref="F15:F16"/>
    <mergeCell ref="E18:E19"/>
    <mergeCell ref="F18:F19"/>
    <mergeCell ref="D27:D28"/>
    <mergeCell ref="E27:E28"/>
    <mergeCell ref="F27:F28"/>
    <mergeCell ref="D30:D31"/>
    <mergeCell ref="E30:E31"/>
    <mergeCell ref="F30:F31"/>
    <mergeCell ref="D18:D19"/>
    <mergeCell ref="D21:D22"/>
    <mergeCell ref="E21:E22"/>
    <mergeCell ref="F21:F22"/>
    <mergeCell ref="D24:D25"/>
    <mergeCell ref="E24:E25"/>
    <mergeCell ref="F24:F25"/>
    <mergeCell ref="C30:C31"/>
    <mergeCell ref="C33:C34"/>
    <mergeCell ref="D33:D34"/>
    <mergeCell ref="E33:E34"/>
    <mergeCell ref="F33:F34"/>
    <mergeCell ref="D36:D37"/>
    <mergeCell ref="E36:E37"/>
    <mergeCell ref="F36:F37"/>
    <mergeCell ref="C36:C37"/>
    <mergeCell ref="C39:C40"/>
    <mergeCell ref="D39:D40"/>
    <mergeCell ref="E39:E40"/>
    <mergeCell ref="F39:F40"/>
    <mergeCell ref="C9:C10"/>
    <mergeCell ref="C12:C13"/>
    <mergeCell ref="C15:C16"/>
    <mergeCell ref="C18:C19"/>
    <mergeCell ref="C21:C22"/>
    <mergeCell ref="C24:C25"/>
    <mergeCell ref="C27:C2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</cols>
  <sheetData>
    <row r="1">
      <c r="A1" s="14" t="s">
        <v>39</v>
      </c>
    </row>
    <row r="3">
      <c r="A3" s="9"/>
      <c r="C3" s="9"/>
    </row>
    <row r="4">
      <c r="A4" s="2" t="s">
        <v>0</v>
      </c>
      <c r="C4" s="5">
        <f>SUM(C14:C40)</f>
        <v>1606.32</v>
      </c>
      <c r="F4" s="46"/>
    </row>
    <row r="5">
      <c r="F5" s="46"/>
    </row>
    <row r="7">
      <c r="C7" s="20"/>
      <c r="D7" s="21">
        <f>SUM(D14:D50)+SUM(E14:E50)</f>
        <v>1606.32</v>
      </c>
    </row>
    <row r="10">
      <c r="A10" s="9" t="s">
        <v>7</v>
      </c>
      <c r="B10" s="19"/>
      <c r="C10" s="3" t="s">
        <v>0</v>
      </c>
      <c r="D10" s="11" t="s">
        <v>30</v>
      </c>
      <c r="E10" s="11" t="s">
        <v>32</v>
      </c>
      <c r="F10" s="11"/>
    </row>
    <row r="11">
      <c r="F11" s="11"/>
    </row>
    <row r="14">
      <c r="A14" s="11" t="s">
        <v>9</v>
      </c>
      <c r="C14" s="7">
        <f>D14+E14</f>
        <v>0</v>
      </c>
      <c r="D14" s="25">
        <f>Ausgaben!E13</f>
        <v>0</v>
      </c>
      <c r="E14" s="25">
        <f>Ausgaben!G13</f>
        <v>0</v>
      </c>
      <c r="F14" s="22"/>
    </row>
    <row r="15">
      <c r="F15" s="22"/>
    </row>
    <row r="16">
      <c r="F16" s="22"/>
    </row>
    <row r="17">
      <c r="A17" s="11" t="s">
        <v>10</v>
      </c>
      <c r="C17" s="7">
        <f>D17+E17</f>
        <v>185.42</v>
      </c>
      <c r="D17" s="25">
        <f>Ausgaben!E16</f>
        <v>185.42</v>
      </c>
      <c r="E17" s="25">
        <f>Ausgaben!G16</f>
        <v>0</v>
      </c>
      <c r="F17" s="22"/>
    </row>
    <row r="18">
      <c r="F18" s="22"/>
    </row>
    <row r="19">
      <c r="F19" s="22"/>
    </row>
    <row r="20">
      <c r="A20" s="12" t="s">
        <v>11</v>
      </c>
      <c r="C20" s="7">
        <f>D20+E20</f>
        <v>353.95</v>
      </c>
      <c r="D20" s="25">
        <f>Ausgaben!E19</f>
        <v>170</v>
      </c>
      <c r="E20" s="25">
        <f>Ausgaben!G19</f>
        <v>183.95</v>
      </c>
      <c r="F20" s="22"/>
    </row>
    <row r="21">
      <c r="F21" s="22"/>
    </row>
    <row r="22">
      <c r="F22" s="22"/>
    </row>
    <row r="23">
      <c r="A23" s="11" t="s">
        <v>12</v>
      </c>
      <c r="C23" s="7">
        <f>D23+E23</f>
        <v>165</v>
      </c>
      <c r="D23" s="25">
        <f>Ausgaben!E22</f>
        <v>165</v>
      </c>
      <c r="E23" s="25">
        <f>Ausgaben!G22</f>
        <v>0</v>
      </c>
      <c r="F23" s="22"/>
    </row>
    <row r="24">
      <c r="F24" s="22"/>
    </row>
    <row r="25">
      <c r="F25" s="22"/>
    </row>
    <row r="26">
      <c r="A26" s="11" t="s">
        <v>13</v>
      </c>
      <c r="C26" s="7">
        <f>D26+E26</f>
        <v>141</v>
      </c>
      <c r="D26" s="25">
        <f>Ausgaben!E25</f>
        <v>141</v>
      </c>
      <c r="E26" s="25">
        <f>Ausgaben!G25</f>
        <v>0</v>
      </c>
      <c r="F26" s="22"/>
    </row>
    <row r="27">
      <c r="F27" s="22"/>
    </row>
    <row r="28">
      <c r="F28" s="22"/>
    </row>
    <row r="29">
      <c r="A29" s="12" t="s">
        <v>14</v>
      </c>
      <c r="C29" s="7">
        <f>D29+E29</f>
        <v>100</v>
      </c>
      <c r="D29" s="25">
        <f>Ausgaben!E28</f>
        <v>100</v>
      </c>
      <c r="E29" s="25">
        <f>Ausgaben!G28</f>
        <v>0</v>
      </c>
      <c r="F29" s="22"/>
    </row>
    <row r="30">
      <c r="F30" s="22"/>
    </row>
    <row r="31">
      <c r="F31" s="22"/>
    </row>
    <row r="32">
      <c r="A32" s="11" t="s">
        <v>15</v>
      </c>
      <c r="C32" s="7">
        <f>D32+E32</f>
        <v>183.52</v>
      </c>
      <c r="D32" s="25">
        <f>Ausgaben!E31</f>
        <v>131.25</v>
      </c>
      <c r="E32" s="25">
        <f>Ausgaben!G31</f>
        <v>52.27</v>
      </c>
      <c r="F32" s="22"/>
    </row>
    <row r="33">
      <c r="F33" s="22"/>
    </row>
    <row r="34">
      <c r="F34" s="22"/>
    </row>
    <row r="35">
      <c r="A35" s="11" t="s">
        <v>16</v>
      </c>
      <c r="C35" s="7">
        <f>D35+E35</f>
        <v>183.52</v>
      </c>
      <c r="D35" s="25">
        <f>Ausgaben!E34</f>
        <v>131.25</v>
      </c>
      <c r="E35" s="25">
        <f>Ausgaben!G34</f>
        <v>52.27</v>
      </c>
      <c r="F35" s="22"/>
    </row>
    <row r="36">
      <c r="F36" s="22"/>
    </row>
    <row r="37">
      <c r="F37" s="22"/>
    </row>
    <row r="38">
      <c r="A38" s="3" t="s">
        <v>17</v>
      </c>
      <c r="C38" s="7">
        <f>D38+E38</f>
        <v>293.91</v>
      </c>
      <c r="D38" s="25">
        <f>Ausgaben!E37</f>
        <v>174.37</v>
      </c>
      <c r="E38" s="25">
        <f>Ausgaben!G37</f>
        <v>119.54</v>
      </c>
      <c r="F38" s="22"/>
    </row>
    <row r="39">
      <c r="F39" s="22"/>
    </row>
    <row r="40">
      <c r="F40" s="22"/>
    </row>
    <row r="41">
      <c r="A41" s="13" t="s">
        <v>18</v>
      </c>
      <c r="C41" s="7">
        <f>D41+E41</f>
        <v>0</v>
      </c>
      <c r="D41" s="25">
        <f>Ausgaben!E40</f>
        <v>0</v>
      </c>
      <c r="E41" s="25">
        <f>Ausgaben!G40</f>
        <v>0</v>
      </c>
    </row>
    <row r="44">
      <c r="A44" s="3" t="s">
        <v>19</v>
      </c>
      <c r="C44" s="7">
        <f>D44+E44</f>
        <v>0</v>
      </c>
      <c r="D44" s="25" t="str">
        <f>Ausgaben!E43</f>
        <v/>
      </c>
      <c r="E44" s="25">
        <f>Ausgaben!G43</f>
        <v>0</v>
      </c>
    </row>
  </sheetData>
  <mergeCells count="66">
    <mergeCell ref="C26:C27"/>
    <mergeCell ref="C29:C30"/>
    <mergeCell ref="D29:D30"/>
    <mergeCell ref="E29:E30"/>
    <mergeCell ref="C31:E31"/>
    <mergeCell ref="C23:C24"/>
    <mergeCell ref="D23:D24"/>
    <mergeCell ref="E23:E24"/>
    <mergeCell ref="C25:E25"/>
    <mergeCell ref="D26:D27"/>
    <mergeCell ref="E26:E27"/>
    <mergeCell ref="C28:E28"/>
    <mergeCell ref="C32:C33"/>
    <mergeCell ref="C35:C36"/>
    <mergeCell ref="A20:A21"/>
    <mergeCell ref="A23:A24"/>
    <mergeCell ref="A26:A27"/>
    <mergeCell ref="A29:A30"/>
    <mergeCell ref="A32:A33"/>
    <mergeCell ref="D32:D33"/>
    <mergeCell ref="A35:A36"/>
    <mergeCell ref="D35:D36"/>
    <mergeCell ref="E38:E39"/>
    <mergeCell ref="C40:E40"/>
    <mergeCell ref="D41:D42"/>
    <mergeCell ref="E41:E42"/>
    <mergeCell ref="A44:A45"/>
    <mergeCell ref="C44:C45"/>
    <mergeCell ref="D44:D45"/>
    <mergeCell ref="E44:E45"/>
    <mergeCell ref="E32:E33"/>
    <mergeCell ref="C34:E34"/>
    <mergeCell ref="E35:E36"/>
    <mergeCell ref="C37:E37"/>
    <mergeCell ref="A38:A39"/>
    <mergeCell ref="D38:D39"/>
    <mergeCell ref="A41:A42"/>
    <mergeCell ref="A1:F1"/>
    <mergeCell ref="A2:F2"/>
    <mergeCell ref="C3:F3"/>
    <mergeCell ref="A4:A5"/>
    <mergeCell ref="C4:E5"/>
    <mergeCell ref="C7:C8"/>
    <mergeCell ref="D7:E8"/>
    <mergeCell ref="C14:C15"/>
    <mergeCell ref="D14:D15"/>
    <mergeCell ref="E14:E15"/>
    <mergeCell ref="C16:E16"/>
    <mergeCell ref="A7:A8"/>
    <mergeCell ref="A10:A11"/>
    <mergeCell ref="B10:B11"/>
    <mergeCell ref="C10:C11"/>
    <mergeCell ref="D10:D11"/>
    <mergeCell ref="E10:E11"/>
    <mergeCell ref="A14:A15"/>
    <mergeCell ref="D20:D21"/>
    <mergeCell ref="E20:E21"/>
    <mergeCell ref="A17:A18"/>
    <mergeCell ref="C17:C18"/>
    <mergeCell ref="D17:D18"/>
    <mergeCell ref="E17:E18"/>
    <mergeCell ref="C19:E19"/>
    <mergeCell ref="C20:C21"/>
    <mergeCell ref="C22:E22"/>
    <mergeCell ref="C38:C39"/>
    <mergeCell ref="C41:C4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</cols>
  <sheetData>
    <row r="1">
      <c r="A1" s="14" t="s">
        <v>56</v>
      </c>
    </row>
    <row r="3">
      <c r="A3" s="9"/>
      <c r="C3" s="9"/>
    </row>
    <row r="4">
      <c r="A4" s="2" t="s">
        <v>0</v>
      </c>
      <c r="C4" s="5">
        <f>SUM(C14:C40)</f>
        <v>1606.32</v>
      </c>
      <c r="F4" s="46"/>
    </row>
    <row r="5">
      <c r="F5" s="46"/>
    </row>
    <row r="7">
      <c r="C7" s="20"/>
      <c r="D7" s="21">
        <f>SUM(D14:D50)+SUM(E14:E50)</f>
        <v>1606.32</v>
      </c>
    </row>
    <row r="10">
      <c r="A10" s="9" t="s">
        <v>7</v>
      </c>
      <c r="B10" s="19"/>
      <c r="C10" s="3" t="s">
        <v>0</v>
      </c>
      <c r="D10" s="11" t="s">
        <v>30</v>
      </c>
      <c r="E10" s="11" t="s">
        <v>32</v>
      </c>
      <c r="F10" s="11"/>
    </row>
    <row r="11">
      <c r="F11" s="11"/>
    </row>
    <row r="14">
      <c r="A14" s="11" t="s">
        <v>9</v>
      </c>
      <c r="C14" s="7">
        <f>D14+E14</f>
        <v>0</v>
      </c>
      <c r="D14" s="25">
        <f>Ausgaben!E13</f>
        <v>0</v>
      </c>
      <c r="E14" s="25">
        <f>Ausgaben!G13</f>
        <v>0</v>
      </c>
      <c r="F14" s="22"/>
    </row>
    <row r="15">
      <c r="F15" s="22"/>
    </row>
    <row r="16">
      <c r="F16" s="22"/>
    </row>
    <row r="17">
      <c r="A17" s="11" t="s">
        <v>10</v>
      </c>
      <c r="C17" s="7">
        <f>D17+E17</f>
        <v>185.42</v>
      </c>
      <c r="D17" s="25">
        <f>Ausgaben!E16</f>
        <v>185.42</v>
      </c>
      <c r="E17" s="25">
        <f>Ausgaben!G16</f>
        <v>0</v>
      </c>
      <c r="F17" s="22"/>
    </row>
    <row r="18">
      <c r="F18" s="22"/>
    </row>
    <row r="19">
      <c r="F19" s="22"/>
    </row>
    <row r="20">
      <c r="A20" s="12" t="s">
        <v>11</v>
      </c>
      <c r="C20" s="7">
        <f>D20+E20</f>
        <v>353.95</v>
      </c>
      <c r="D20" s="25">
        <f>Ausgaben!E19</f>
        <v>170</v>
      </c>
      <c r="E20" s="25">
        <f>Ausgaben!G19</f>
        <v>183.95</v>
      </c>
      <c r="F20" s="22"/>
    </row>
    <row r="21">
      <c r="F21" s="22"/>
    </row>
    <row r="22">
      <c r="F22" s="22"/>
    </row>
    <row r="23">
      <c r="A23" s="11" t="s">
        <v>12</v>
      </c>
      <c r="C23" s="7">
        <f>D23+E23</f>
        <v>165</v>
      </c>
      <c r="D23" s="25">
        <f>Ausgaben!E22</f>
        <v>165</v>
      </c>
      <c r="E23" s="25">
        <f>Ausgaben!G22</f>
        <v>0</v>
      </c>
      <c r="F23" s="22"/>
    </row>
    <row r="24">
      <c r="F24" s="22"/>
    </row>
    <row r="25">
      <c r="F25" s="22"/>
    </row>
    <row r="26">
      <c r="A26" s="11" t="s">
        <v>13</v>
      </c>
      <c r="C26" s="7">
        <f>D26+E26</f>
        <v>141</v>
      </c>
      <c r="D26" s="25">
        <f>Ausgaben!E25</f>
        <v>141</v>
      </c>
      <c r="E26" s="25">
        <f>Ausgaben!G25</f>
        <v>0</v>
      </c>
      <c r="F26" s="22"/>
    </row>
    <row r="27">
      <c r="F27" s="22"/>
    </row>
    <row r="28">
      <c r="F28" s="22"/>
    </row>
    <row r="29">
      <c r="A29" s="12" t="s">
        <v>14</v>
      </c>
      <c r="C29" s="7">
        <f>D29+E29</f>
        <v>100</v>
      </c>
      <c r="D29" s="25">
        <f>Ausgaben!E28</f>
        <v>100</v>
      </c>
      <c r="E29" s="25">
        <f>Ausgaben!G28</f>
        <v>0</v>
      </c>
      <c r="F29" s="22"/>
    </row>
    <row r="30">
      <c r="F30" s="22"/>
    </row>
    <row r="31">
      <c r="F31" s="22"/>
    </row>
    <row r="32">
      <c r="A32" s="11" t="s">
        <v>15</v>
      </c>
      <c r="C32" s="7">
        <f>D32+E32</f>
        <v>183.52</v>
      </c>
      <c r="D32" s="25">
        <f>Ausgaben!E31</f>
        <v>131.25</v>
      </c>
      <c r="E32" s="25">
        <f>Ausgaben!G31</f>
        <v>52.27</v>
      </c>
      <c r="F32" s="22"/>
    </row>
    <row r="33">
      <c r="F33" s="22"/>
    </row>
    <row r="34">
      <c r="F34" s="22"/>
    </row>
    <row r="35">
      <c r="A35" s="11" t="s">
        <v>16</v>
      </c>
      <c r="C35" s="7">
        <f>D35+E35</f>
        <v>183.52</v>
      </c>
      <c r="D35" s="25">
        <f>Ausgaben!E34</f>
        <v>131.25</v>
      </c>
      <c r="E35" s="25">
        <f>Ausgaben!G34</f>
        <v>52.27</v>
      </c>
      <c r="F35" s="22"/>
    </row>
    <row r="36">
      <c r="F36" s="22"/>
    </row>
    <row r="37">
      <c r="F37" s="22"/>
    </row>
    <row r="38">
      <c r="A38" s="3" t="s">
        <v>17</v>
      </c>
      <c r="C38" s="7">
        <f>D38+E38</f>
        <v>293.91</v>
      </c>
      <c r="D38" s="25">
        <f>Ausgaben!E37</f>
        <v>174.37</v>
      </c>
      <c r="E38" s="25">
        <f>Ausgaben!G37</f>
        <v>119.54</v>
      </c>
      <c r="F38" s="22"/>
    </row>
    <row r="39">
      <c r="F39" s="22"/>
    </row>
    <row r="40">
      <c r="F40" s="22"/>
    </row>
    <row r="41">
      <c r="A41" s="13" t="s">
        <v>18</v>
      </c>
      <c r="C41" s="7">
        <f>D41+E41</f>
        <v>0</v>
      </c>
      <c r="D41" s="25">
        <f>Ausgaben!E40</f>
        <v>0</v>
      </c>
      <c r="E41" s="25">
        <f>Ausgaben!G40</f>
        <v>0</v>
      </c>
    </row>
    <row r="44">
      <c r="A44" s="3" t="s">
        <v>19</v>
      </c>
      <c r="C44" s="7">
        <f>D44+E44</f>
        <v>0</v>
      </c>
      <c r="D44" s="25" t="str">
        <f>Ausgaben!E43</f>
        <v/>
      </c>
      <c r="E44" s="25">
        <f>Ausgaben!G43</f>
        <v>0</v>
      </c>
    </row>
  </sheetData>
  <mergeCells count="66">
    <mergeCell ref="C26:C27"/>
    <mergeCell ref="C29:C30"/>
    <mergeCell ref="D29:D30"/>
    <mergeCell ref="E29:E30"/>
    <mergeCell ref="C31:E31"/>
    <mergeCell ref="C23:C24"/>
    <mergeCell ref="D23:D24"/>
    <mergeCell ref="E23:E24"/>
    <mergeCell ref="C25:E25"/>
    <mergeCell ref="D26:D27"/>
    <mergeCell ref="E26:E27"/>
    <mergeCell ref="C28:E28"/>
    <mergeCell ref="C32:C33"/>
    <mergeCell ref="C35:C36"/>
    <mergeCell ref="A20:A21"/>
    <mergeCell ref="A23:A24"/>
    <mergeCell ref="A26:A27"/>
    <mergeCell ref="A29:A30"/>
    <mergeCell ref="A32:A33"/>
    <mergeCell ref="D32:D33"/>
    <mergeCell ref="A35:A36"/>
    <mergeCell ref="D35:D36"/>
    <mergeCell ref="E38:E39"/>
    <mergeCell ref="C40:E40"/>
    <mergeCell ref="D41:D42"/>
    <mergeCell ref="E41:E42"/>
    <mergeCell ref="A44:A45"/>
    <mergeCell ref="C44:C45"/>
    <mergeCell ref="D44:D45"/>
    <mergeCell ref="E44:E45"/>
    <mergeCell ref="E32:E33"/>
    <mergeCell ref="C34:E34"/>
    <mergeCell ref="E35:E36"/>
    <mergeCell ref="C37:E37"/>
    <mergeCell ref="A38:A39"/>
    <mergeCell ref="D38:D39"/>
    <mergeCell ref="A41:A42"/>
    <mergeCell ref="A1:F1"/>
    <mergeCell ref="A2:F2"/>
    <mergeCell ref="C3:F3"/>
    <mergeCell ref="A4:A5"/>
    <mergeCell ref="C4:E5"/>
    <mergeCell ref="C7:C8"/>
    <mergeCell ref="D7:E8"/>
    <mergeCell ref="C14:C15"/>
    <mergeCell ref="D14:D15"/>
    <mergeCell ref="E14:E15"/>
    <mergeCell ref="C16:E16"/>
    <mergeCell ref="A7:A8"/>
    <mergeCell ref="A10:A11"/>
    <mergeCell ref="B10:B11"/>
    <mergeCell ref="C10:C11"/>
    <mergeCell ref="D10:D11"/>
    <mergeCell ref="E10:E11"/>
    <mergeCell ref="A14:A15"/>
    <mergeCell ref="D20:D21"/>
    <mergeCell ref="E20:E21"/>
    <mergeCell ref="A17:A18"/>
    <mergeCell ref="C17:C18"/>
    <mergeCell ref="D17:D18"/>
    <mergeCell ref="E17:E18"/>
    <mergeCell ref="C19:E19"/>
    <mergeCell ref="C20:C21"/>
    <mergeCell ref="C22:E22"/>
    <mergeCell ref="C38:C39"/>
    <mergeCell ref="C41:C4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3" max="3" width="20.25"/>
    <col customWidth="1" min="4" max="4" width="12.88"/>
  </cols>
  <sheetData>
    <row r="1">
      <c r="A1" s="14" t="s">
        <v>57</v>
      </c>
    </row>
    <row r="3">
      <c r="A3" s="9"/>
      <c r="C3" s="9"/>
    </row>
    <row r="4">
      <c r="A4" s="2" t="s">
        <v>0</v>
      </c>
      <c r="C4" s="5">
        <f>SUM(C14:C100)</f>
        <v>17839.5</v>
      </c>
      <c r="G4" s="46"/>
    </row>
    <row r="5">
      <c r="G5" s="46"/>
    </row>
    <row r="7">
      <c r="C7" s="21"/>
    </row>
    <row r="10">
      <c r="A10" s="9" t="s">
        <v>7</v>
      </c>
      <c r="B10" s="19"/>
      <c r="C10" s="3" t="s">
        <v>58</v>
      </c>
      <c r="D10" s="3" t="s">
        <v>59</v>
      </c>
      <c r="E10" s="11" t="s">
        <v>60</v>
      </c>
      <c r="F10" s="11" t="s">
        <v>61</v>
      </c>
      <c r="G10" s="11" t="s">
        <v>62</v>
      </c>
      <c r="H10" s="11" t="s">
        <v>63</v>
      </c>
    </row>
    <row r="14">
      <c r="A14" s="11" t="s">
        <v>9</v>
      </c>
      <c r="C14" s="7">
        <f>D14*F14</f>
        <v>435</v>
      </c>
      <c r="D14" s="47">
        <v>0.025</v>
      </c>
      <c r="E14" s="25">
        <v>20000.0</v>
      </c>
      <c r="F14" s="25">
        <v>17400.0</v>
      </c>
      <c r="G14" s="25" t="s">
        <v>64</v>
      </c>
      <c r="H14" s="3" t="s">
        <v>64</v>
      </c>
    </row>
    <row r="16">
      <c r="G16" s="22"/>
    </row>
    <row r="17">
      <c r="A17" s="11" t="s">
        <v>10</v>
      </c>
      <c r="C17" s="7">
        <f>D17*F17</f>
        <v>980</v>
      </c>
      <c r="D17" s="48">
        <v>0.02</v>
      </c>
      <c r="E17" s="25">
        <v>59000.0</v>
      </c>
      <c r="F17" s="25">
        <v>49000.0</v>
      </c>
      <c r="G17" s="25" t="s">
        <v>64</v>
      </c>
      <c r="H17" s="3" t="s">
        <v>64</v>
      </c>
    </row>
    <row r="19">
      <c r="G19" s="22"/>
    </row>
    <row r="20">
      <c r="A20" s="12" t="s">
        <v>11</v>
      </c>
      <c r="C20" s="7">
        <f>D20*F20</f>
        <v>1123</v>
      </c>
      <c r="D20" s="48">
        <v>0.02</v>
      </c>
      <c r="E20" s="25">
        <f>65000</f>
        <v>65000</v>
      </c>
      <c r="F20" s="25">
        <v>56150.0</v>
      </c>
      <c r="G20" s="25" t="s">
        <v>64</v>
      </c>
      <c r="H20" s="3" t="s">
        <v>64</v>
      </c>
    </row>
    <row r="22">
      <c r="G22" s="22"/>
    </row>
    <row r="23">
      <c r="A23" s="11" t="s">
        <v>12</v>
      </c>
      <c r="C23" s="7">
        <f>D23*F23+H23</f>
        <v>1645</v>
      </c>
      <c r="D23" s="48">
        <v>0.02</v>
      </c>
      <c r="E23" s="25">
        <v>65000.0</v>
      </c>
      <c r="F23" s="25">
        <v>52250.0</v>
      </c>
      <c r="G23" s="3" t="s">
        <v>64</v>
      </c>
      <c r="H23" s="7">
        <f>3000/5</f>
        <v>600</v>
      </c>
    </row>
    <row r="25">
      <c r="G25" s="22"/>
    </row>
    <row r="26">
      <c r="A26" s="11" t="s">
        <v>13</v>
      </c>
      <c r="C26" s="7">
        <f>D26*F26</f>
        <v>654</v>
      </c>
      <c r="D26" s="48">
        <v>0.02</v>
      </c>
      <c r="E26" s="25">
        <v>55000.0</v>
      </c>
      <c r="F26" s="25">
        <v>32700.0</v>
      </c>
      <c r="G26" s="3" t="s">
        <v>64</v>
      </c>
      <c r="H26" s="3" t="s">
        <v>64</v>
      </c>
    </row>
    <row r="28">
      <c r="G28" s="22"/>
    </row>
    <row r="29">
      <c r="A29" s="12" t="s">
        <v>14</v>
      </c>
      <c r="C29" s="7">
        <f>D29*F29+H29</f>
        <v>1040</v>
      </c>
      <c r="D29" s="48">
        <v>0.02</v>
      </c>
      <c r="E29" s="25">
        <v>53000.0</v>
      </c>
      <c r="F29" s="25">
        <v>42000.0</v>
      </c>
      <c r="G29" s="38">
        <v>10000.0</v>
      </c>
      <c r="H29" s="38">
        <f>1000/5</f>
        <v>200</v>
      </c>
    </row>
    <row r="31">
      <c r="G31" s="22"/>
    </row>
    <row r="32">
      <c r="A32" s="11" t="s">
        <v>15</v>
      </c>
      <c r="C32" s="7">
        <f>D32*F32+H32</f>
        <v>5312.5</v>
      </c>
      <c r="D32" s="47">
        <v>0.025</v>
      </c>
      <c r="E32" s="25">
        <v>92500.0</v>
      </c>
      <c r="F32" s="25">
        <v>87500.0</v>
      </c>
      <c r="G32" s="38">
        <v>5000.0</v>
      </c>
      <c r="H32" s="7">
        <f>6250/2</f>
        <v>3125</v>
      </c>
    </row>
    <row r="34">
      <c r="G34" s="22"/>
    </row>
    <row r="35">
      <c r="A35" s="11" t="s">
        <v>16</v>
      </c>
      <c r="C35" s="7">
        <f>D35*F35+H35</f>
        <v>5250</v>
      </c>
      <c r="D35" s="47">
        <v>0.025</v>
      </c>
      <c r="E35" s="25">
        <v>90000.0</v>
      </c>
      <c r="F35" s="25">
        <v>85000.0</v>
      </c>
      <c r="G35" s="38">
        <v>5000.0</v>
      </c>
      <c r="H35" s="7">
        <f>6250/2</f>
        <v>3125</v>
      </c>
    </row>
    <row r="37">
      <c r="G37" s="22"/>
    </row>
    <row r="38">
      <c r="A38" s="3" t="s">
        <v>17</v>
      </c>
      <c r="C38" s="7">
        <f>D38*F38</f>
        <v>500</v>
      </c>
      <c r="D38" s="47">
        <v>0.025</v>
      </c>
      <c r="E38" s="25">
        <v>27000.0</v>
      </c>
      <c r="F38" s="25">
        <v>20000.0</v>
      </c>
      <c r="G38" s="38" t="s">
        <v>64</v>
      </c>
      <c r="H38" s="38" t="s">
        <v>64</v>
      </c>
    </row>
    <row r="40">
      <c r="G40" s="22"/>
    </row>
    <row r="41">
      <c r="A41" s="13" t="s">
        <v>18</v>
      </c>
      <c r="C41" s="7">
        <f>D41*F41</f>
        <v>560</v>
      </c>
      <c r="D41" s="48">
        <v>0.02</v>
      </c>
      <c r="E41" s="25">
        <v>35000.0</v>
      </c>
      <c r="F41" s="25">
        <v>28000.0</v>
      </c>
      <c r="G41" s="38" t="s">
        <v>64</v>
      </c>
      <c r="H41" s="38" t="s">
        <v>64</v>
      </c>
    </row>
    <row r="44">
      <c r="A44" s="3" t="s">
        <v>19</v>
      </c>
      <c r="C44" s="7">
        <f>D44*F44</f>
        <v>340</v>
      </c>
      <c r="D44" s="48">
        <v>0.02</v>
      </c>
      <c r="E44" s="25">
        <v>24000.0</v>
      </c>
      <c r="F44" s="25">
        <v>17000.0</v>
      </c>
      <c r="G44" s="38" t="s">
        <v>64</v>
      </c>
      <c r="H44" s="38" t="s">
        <v>64</v>
      </c>
    </row>
  </sheetData>
  <mergeCells count="100">
    <mergeCell ref="C17:C18"/>
    <mergeCell ref="D17:D18"/>
    <mergeCell ref="E17:E18"/>
    <mergeCell ref="F17:F18"/>
    <mergeCell ref="G17:G18"/>
    <mergeCell ref="H17:H18"/>
    <mergeCell ref="C19:F19"/>
    <mergeCell ref="C20:C21"/>
    <mergeCell ref="D20:D21"/>
    <mergeCell ref="E20:E21"/>
    <mergeCell ref="F20:F21"/>
    <mergeCell ref="G20:G21"/>
    <mergeCell ref="H20:H21"/>
    <mergeCell ref="C22:F22"/>
    <mergeCell ref="C23:C24"/>
    <mergeCell ref="D23:D24"/>
    <mergeCell ref="E23:E24"/>
    <mergeCell ref="F23:F24"/>
    <mergeCell ref="G23:G24"/>
    <mergeCell ref="H23:H24"/>
    <mergeCell ref="C25:F25"/>
    <mergeCell ref="C26:C27"/>
    <mergeCell ref="D26:D27"/>
    <mergeCell ref="E26:E27"/>
    <mergeCell ref="F26:F27"/>
    <mergeCell ref="G26:G27"/>
    <mergeCell ref="H26:H27"/>
    <mergeCell ref="C28:F28"/>
    <mergeCell ref="C29:C30"/>
    <mergeCell ref="D29:D30"/>
    <mergeCell ref="E29:E30"/>
    <mergeCell ref="F29:F30"/>
    <mergeCell ref="G29:G30"/>
    <mergeCell ref="H29:H30"/>
    <mergeCell ref="C31:F31"/>
    <mergeCell ref="C32:C33"/>
    <mergeCell ref="D32:D33"/>
    <mergeCell ref="E32:E33"/>
    <mergeCell ref="F32:F33"/>
    <mergeCell ref="G32:G33"/>
    <mergeCell ref="H32:H33"/>
    <mergeCell ref="C34:F34"/>
    <mergeCell ref="C35:C36"/>
    <mergeCell ref="D35:D36"/>
    <mergeCell ref="E35:E36"/>
    <mergeCell ref="F35:F36"/>
    <mergeCell ref="G35:G36"/>
    <mergeCell ref="H35:H36"/>
    <mergeCell ref="C37:F37"/>
    <mergeCell ref="A35:A36"/>
    <mergeCell ref="A38:A39"/>
    <mergeCell ref="C38:C39"/>
    <mergeCell ref="D38:D39"/>
    <mergeCell ref="E38:E39"/>
    <mergeCell ref="G38:G39"/>
    <mergeCell ref="H38:H39"/>
    <mergeCell ref="D10:D11"/>
    <mergeCell ref="E10:E11"/>
    <mergeCell ref="F10:F11"/>
    <mergeCell ref="G10:G11"/>
    <mergeCell ref="H10:H11"/>
    <mergeCell ref="A1:G2"/>
    <mergeCell ref="C3:G3"/>
    <mergeCell ref="A4:A5"/>
    <mergeCell ref="C4:F5"/>
    <mergeCell ref="A7:A8"/>
    <mergeCell ref="C7:F8"/>
    <mergeCell ref="A10:A11"/>
    <mergeCell ref="G14:G15"/>
    <mergeCell ref="H14:H15"/>
    <mergeCell ref="B10:B11"/>
    <mergeCell ref="C10:C11"/>
    <mergeCell ref="C14:C15"/>
    <mergeCell ref="D14:D15"/>
    <mergeCell ref="E14:E15"/>
    <mergeCell ref="F14:F15"/>
    <mergeCell ref="C16:F16"/>
    <mergeCell ref="F38:F39"/>
    <mergeCell ref="C40:F40"/>
    <mergeCell ref="C41:C42"/>
    <mergeCell ref="D41:D42"/>
    <mergeCell ref="E41:E42"/>
    <mergeCell ref="F41:F42"/>
    <mergeCell ref="G41:G42"/>
    <mergeCell ref="H41:H42"/>
    <mergeCell ref="A41:A42"/>
    <mergeCell ref="A44:A45"/>
    <mergeCell ref="C44:C45"/>
    <mergeCell ref="D44:D45"/>
    <mergeCell ref="E44:E45"/>
    <mergeCell ref="F44:F45"/>
    <mergeCell ref="G44:G45"/>
    <mergeCell ref="H44:H45"/>
    <mergeCell ref="A14:A15"/>
    <mergeCell ref="A17:A18"/>
    <mergeCell ref="A20:A21"/>
    <mergeCell ref="A23:A24"/>
    <mergeCell ref="A26:A27"/>
    <mergeCell ref="A29:A30"/>
    <mergeCell ref="A32:A33"/>
  </mergeCells>
  <drawing r:id="rId1"/>
</worksheet>
</file>